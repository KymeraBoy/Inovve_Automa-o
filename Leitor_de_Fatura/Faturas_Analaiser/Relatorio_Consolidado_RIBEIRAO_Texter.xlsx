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uário 1\Documents\Inovve_Automação\Leitor_de_Fatura\Faturas_Analaiser\"/>
    </mc:Choice>
  </mc:AlternateContent>
  <xr:revisionPtr revIDLastSave="0" documentId="13_ncr:1_{DD7FF75F-AAEC-4B4E-82D7-D17206F3B970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Classificação" sheetId="1" r:id="rId1"/>
    <sheet name="Consumo_Faturado" sheetId="2" r:id="rId2"/>
    <sheet name="Consumo_Medido" sheetId="3" r:id="rId3"/>
    <sheet name="Planilha1" sheetId="4" r:id="rId4"/>
  </sheets>
  <definedNames>
    <definedName name="_xlnm._FilterDatabase" localSheetId="1" hidden="1">Consumo_Faturado!$A$1:$N$127</definedName>
    <definedName name="_xlnm._FilterDatabase" localSheetId="2" hidden="1">Consumo_Medido!$A$1:$N$127</definedName>
    <definedName name="_xlnm._FilterDatabase" localSheetId="3" hidden="1">Planilha1!$B$1:$O$127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2" i="4" l="1"/>
  <c r="C121" i="4"/>
  <c r="C119" i="4"/>
  <c r="C118" i="4"/>
  <c r="C112" i="4"/>
  <c r="C111" i="4"/>
  <c r="C110" i="4"/>
  <c r="C109" i="4"/>
  <c r="C108" i="4"/>
  <c r="C66" i="4"/>
  <c r="C53" i="4"/>
  <c r="C52" i="4"/>
  <c r="C39" i="4"/>
  <c r="C28" i="4"/>
  <c r="C26" i="4"/>
  <c r="C25" i="4"/>
  <c r="C24" i="4"/>
  <c r="C19" i="4"/>
  <c r="C18" i="4"/>
  <c r="C17" i="4"/>
  <c r="C14" i="4"/>
  <c r="C13" i="4"/>
  <c r="C12" i="4"/>
  <c r="C11" i="4"/>
  <c r="C10" i="4"/>
  <c r="C7" i="4"/>
  <c r="C4" i="4"/>
  <c r="C3" i="4"/>
  <c r="D3" i="4"/>
  <c r="E3" i="4"/>
  <c r="F3" i="4"/>
  <c r="G3" i="4"/>
  <c r="H3" i="4"/>
  <c r="I3" i="4"/>
  <c r="J3" i="4"/>
  <c r="K3" i="4"/>
  <c r="L3" i="4"/>
  <c r="M3" i="4"/>
  <c r="N3" i="4"/>
  <c r="O3" i="4"/>
  <c r="D4" i="4"/>
  <c r="E4" i="4"/>
  <c r="F4" i="4"/>
  <c r="G4" i="4"/>
  <c r="H4" i="4"/>
  <c r="I4" i="4"/>
  <c r="J4" i="4"/>
  <c r="K4" i="4"/>
  <c r="L4" i="4"/>
  <c r="M4" i="4"/>
  <c r="N4" i="4"/>
  <c r="O4" i="4"/>
  <c r="D5" i="4"/>
  <c r="E5" i="4"/>
  <c r="F5" i="4"/>
  <c r="G5" i="4"/>
  <c r="H5" i="4"/>
  <c r="I5" i="4"/>
  <c r="J5" i="4"/>
  <c r="K5" i="4"/>
  <c r="L5" i="4"/>
  <c r="M5" i="4"/>
  <c r="N5" i="4"/>
  <c r="O5" i="4"/>
  <c r="D6" i="4"/>
  <c r="E6" i="4"/>
  <c r="F6" i="4"/>
  <c r="G6" i="4"/>
  <c r="H6" i="4"/>
  <c r="I6" i="4"/>
  <c r="J6" i="4"/>
  <c r="K6" i="4"/>
  <c r="L6" i="4"/>
  <c r="M6" i="4"/>
  <c r="N6" i="4"/>
  <c r="O6" i="4"/>
  <c r="D7" i="4"/>
  <c r="E7" i="4"/>
  <c r="F7" i="4"/>
  <c r="G7" i="4"/>
  <c r="H7" i="4"/>
  <c r="I7" i="4"/>
  <c r="J7" i="4"/>
  <c r="K7" i="4"/>
  <c r="L7" i="4"/>
  <c r="M7" i="4"/>
  <c r="N7" i="4"/>
  <c r="O7" i="4"/>
  <c r="D8" i="4"/>
  <c r="E8" i="4"/>
  <c r="F8" i="4"/>
  <c r="G8" i="4"/>
  <c r="H8" i="4"/>
  <c r="I8" i="4"/>
  <c r="J8" i="4"/>
  <c r="K8" i="4"/>
  <c r="L8" i="4"/>
  <c r="M8" i="4"/>
  <c r="N8" i="4"/>
  <c r="O8" i="4"/>
  <c r="D9" i="4"/>
  <c r="E9" i="4"/>
  <c r="F9" i="4"/>
  <c r="G9" i="4"/>
  <c r="H9" i="4"/>
  <c r="I9" i="4"/>
  <c r="J9" i="4"/>
  <c r="K9" i="4"/>
  <c r="L9" i="4"/>
  <c r="M9" i="4"/>
  <c r="N9" i="4"/>
  <c r="O9" i="4"/>
  <c r="D10" i="4"/>
  <c r="E10" i="4"/>
  <c r="F10" i="4"/>
  <c r="G10" i="4"/>
  <c r="H10" i="4"/>
  <c r="I10" i="4"/>
  <c r="J10" i="4"/>
  <c r="K10" i="4"/>
  <c r="L10" i="4"/>
  <c r="M10" i="4"/>
  <c r="N10" i="4"/>
  <c r="O10" i="4"/>
  <c r="D11" i="4"/>
  <c r="E11" i="4"/>
  <c r="F11" i="4"/>
  <c r="G11" i="4"/>
  <c r="H11" i="4"/>
  <c r="I11" i="4"/>
  <c r="J11" i="4"/>
  <c r="K11" i="4"/>
  <c r="L11" i="4"/>
  <c r="M11" i="4"/>
  <c r="N11" i="4"/>
  <c r="O11" i="4"/>
  <c r="D12" i="4"/>
  <c r="E12" i="4"/>
  <c r="F12" i="4"/>
  <c r="G12" i="4"/>
  <c r="H12" i="4"/>
  <c r="I12" i="4"/>
  <c r="J12" i="4"/>
  <c r="K12" i="4"/>
  <c r="L12" i="4"/>
  <c r="M12" i="4"/>
  <c r="N12" i="4"/>
  <c r="O12" i="4"/>
  <c r="D13" i="4"/>
  <c r="E13" i="4"/>
  <c r="F13" i="4"/>
  <c r="G13" i="4"/>
  <c r="H13" i="4"/>
  <c r="I13" i="4"/>
  <c r="J13" i="4"/>
  <c r="K13" i="4"/>
  <c r="L13" i="4"/>
  <c r="M13" i="4"/>
  <c r="N13" i="4"/>
  <c r="O13" i="4"/>
  <c r="D14" i="4"/>
  <c r="E14" i="4"/>
  <c r="F14" i="4"/>
  <c r="G14" i="4"/>
  <c r="H14" i="4"/>
  <c r="I14" i="4"/>
  <c r="J14" i="4"/>
  <c r="K14" i="4"/>
  <c r="L14" i="4"/>
  <c r="M14" i="4"/>
  <c r="N14" i="4"/>
  <c r="O14" i="4"/>
  <c r="D15" i="4"/>
  <c r="E15" i="4"/>
  <c r="F15" i="4"/>
  <c r="G15" i="4"/>
  <c r="H15" i="4"/>
  <c r="I15" i="4"/>
  <c r="J15" i="4"/>
  <c r="K15" i="4"/>
  <c r="L15" i="4"/>
  <c r="M15" i="4"/>
  <c r="N15" i="4"/>
  <c r="O15" i="4"/>
  <c r="D16" i="4"/>
  <c r="E16" i="4"/>
  <c r="F16" i="4"/>
  <c r="G16" i="4"/>
  <c r="H16" i="4"/>
  <c r="I16" i="4"/>
  <c r="J16" i="4"/>
  <c r="K16" i="4"/>
  <c r="L16" i="4"/>
  <c r="M16" i="4"/>
  <c r="N16" i="4"/>
  <c r="O16" i="4"/>
  <c r="D17" i="4"/>
  <c r="E17" i="4"/>
  <c r="F17" i="4"/>
  <c r="G17" i="4"/>
  <c r="H17" i="4"/>
  <c r="I17" i="4"/>
  <c r="J17" i="4"/>
  <c r="K17" i="4"/>
  <c r="L17" i="4"/>
  <c r="M17" i="4"/>
  <c r="N17" i="4"/>
  <c r="O17" i="4"/>
  <c r="D18" i="4"/>
  <c r="E18" i="4"/>
  <c r="F18" i="4"/>
  <c r="G18" i="4"/>
  <c r="H18" i="4"/>
  <c r="I18" i="4"/>
  <c r="J18" i="4"/>
  <c r="K18" i="4"/>
  <c r="L18" i="4"/>
  <c r="M18" i="4"/>
  <c r="N18" i="4"/>
  <c r="O18" i="4"/>
  <c r="D19" i="4"/>
  <c r="E19" i="4"/>
  <c r="F19" i="4"/>
  <c r="G19" i="4"/>
  <c r="H19" i="4"/>
  <c r="I19" i="4"/>
  <c r="J19" i="4"/>
  <c r="K19" i="4"/>
  <c r="L19" i="4"/>
  <c r="M19" i="4"/>
  <c r="N19" i="4"/>
  <c r="O19" i="4"/>
  <c r="D20" i="4"/>
  <c r="E20" i="4"/>
  <c r="F20" i="4"/>
  <c r="G20" i="4"/>
  <c r="H20" i="4"/>
  <c r="I20" i="4"/>
  <c r="J20" i="4"/>
  <c r="K20" i="4"/>
  <c r="L20" i="4"/>
  <c r="M20" i="4"/>
  <c r="N20" i="4"/>
  <c r="O20" i="4"/>
  <c r="D21" i="4"/>
  <c r="E21" i="4"/>
  <c r="F21" i="4"/>
  <c r="G21" i="4"/>
  <c r="H21" i="4"/>
  <c r="I21" i="4"/>
  <c r="J21" i="4"/>
  <c r="K21" i="4"/>
  <c r="L21" i="4"/>
  <c r="M21" i="4"/>
  <c r="N21" i="4"/>
  <c r="O21" i="4"/>
  <c r="D22" i="4"/>
  <c r="E22" i="4"/>
  <c r="F22" i="4"/>
  <c r="G22" i="4"/>
  <c r="H22" i="4"/>
  <c r="I22" i="4"/>
  <c r="J22" i="4"/>
  <c r="K22" i="4"/>
  <c r="L22" i="4"/>
  <c r="M22" i="4"/>
  <c r="N22" i="4"/>
  <c r="O22" i="4"/>
  <c r="D23" i="4"/>
  <c r="E23" i="4"/>
  <c r="F23" i="4"/>
  <c r="G23" i="4"/>
  <c r="H23" i="4"/>
  <c r="I23" i="4"/>
  <c r="J23" i="4"/>
  <c r="K23" i="4"/>
  <c r="L23" i="4"/>
  <c r="M23" i="4"/>
  <c r="N23" i="4"/>
  <c r="O23" i="4"/>
  <c r="D24" i="4"/>
  <c r="E24" i="4"/>
  <c r="F24" i="4"/>
  <c r="G24" i="4"/>
  <c r="H24" i="4"/>
  <c r="I24" i="4"/>
  <c r="J24" i="4"/>
  <c r="K24" i="4"/>
  <c r="L24" i="4"/>
  <c r="M24" i="4"/>
  <c r="N24" i="4"/>
  <c r="O24" i="4"/>
  <c r="D25" i="4"/>
  <c r="E25" i="4"/>
  <c r="F25" i="4"/>
  <c r="G25" i="4"/>
  <c r="H25" i="4"/>
  <c r="I25" i="4"/>
  <c r="J25" i="4"/>
  <c r="K25" i="4"/>
  <c r="L25" i="4"/>
  <c r="M25" i="4"/>
  <c r="N25" i="4"/>
  <c r="O25" i="4"/>
  <c r="D26" i="4"/>
  <c r="E26" i="4"/>
  <c r="F26" i="4"/>
  <c r="G26" i="4"/>
  <c r="H26" i="4"/>
  <c r="I26" i="4"/>
  <c r="J26" i="4"/>
  <c r="K26" i="4"/>
  <c r="L26" i="4"/>
  <c r="M26" i="4"/>
  <c r="N26" i="4"/>
  <c r="O26" i="4"/>
  <c r="D27" i="4"/>
  <c r="E27" i="4"/>
  <c r="F27" i="4"/>
  <c r="G27" i="4"/>
  <c r="H27" i="4"/>
  <c r="I27" i="4"/>
  <c r="J27" i="4"/>
  <c r="K27" i="4"/>
  <c r="L27" i="4"/>
  <c r="M27" i="4"/>
  <c r="N27" i="4"/>
  <c r="O27" i="4"/>
  <c r="D28" i="4"/>
  <c r="E28" i="4"/>
  <c r="F28" i="4"/>
  <c r="G28" i="4"/>
  <c r="H28" i="4"/>
  <c r="I28" i="4"/>
  <c r="J28" i="4"/>
  <c r="K28" i="4"/>
  <c r="L28" i="4"/>
  <c r="M28" i="4"/>
  <c r="N28" i="4"/>
  <c r="O28" i="4"/>
  <c r="D29" i="4"/>
  <c r="E29" i="4"/>
  <c r="F29" i="4"/>
  <c r="G29" i="4"/>
  <c r="H29" i="4"/>
  <c r="I29" i="4"/>
  <c r="J29" i="4"/>
  <c r="K29" i="4"/>
  <c r="L29" i="4"/>
  <c r="M29" i="4"/>
  <c r="N29" i="4"/>
  <c r="O29" i="4"/>
  <c r="D30" i="4"/>
  <c r="E30" i="4"/>
  <c r="F30" i="4"/>
  <c r="G30" i="4"/>
  <c r="H30" i="4"/>
  <c r="I30" i="4"/>
  <c r="J30" i="4"/>
  <c r="K30" i="4"/>
  <c r="L30" i="4"/>
  <c r="M30" i="4"/>
  <c r="N30" i="4"/>
  <c r="O30" i="4"/>
  <c r="D31" i="4"/>
  <c r="E31" i="4"/>
  <c r="F31" i="4"/>
  <c r="G31" i="4"/>
  <c r="H31" i="4"/>
  <c r="I31" i="4"/>
  <c r="J31" i="4"/>
  <c r="K31" i="4"/>
  <c r="L31" i="4"/>
  <c r="M31" i="4"/>
  <c r="N31" i="4"/>
  <c r="O31" i="4"/>
  <c r="D32" i="4"/>
  <c r="E32" i="4"/>
  <c r="F32" i="4"/>
  <c r="G32" i="4"/>
  <c r="H32" i="4"/>
  <c r="I32" i="4"/>
  <c r="J32" i="4"/>
  <c r="K32" i="4"/>
  <c r="L32" i="4"/>
  <c r="M32" i="4"/>
  <c r="N32" i="4"/>
  <c r="O32" i="4"/>
  <c r="D33" i="4"/>
  <c r="E33" i="4"/>
  <c r="F33" i="4"/>
  <c r="G33" i="4"/>
  <c r="H33" i="4"/>
  <c r="I33" i="4"/>
  <c r="J33" i="4"/>
  <c r="K33" i="4"/>
  <c r="L33" i="4"/>
  <c r="M33" i="4"/>
  <c r="N33" i="4"/>
  <c r="O33" i="4"/>
  <c r="D34" i="4"/>
  <c r="E34" i="4"/>
  <c r="F34" i="4"/>
  <c r="G34" i="4"/>
  <c r="H34" i="4"/>
  <c r="I34" i="4"/>
  <c r="J34" i="4"/>
  <c r="K34" i="4"/>
  <c r="L34" i="4"/>
  <c r="M34" i="4"/>
  <c r="N34" i="4"/>
  <c r="O34" i="4"/>
  <c r="D35" i="4"/>
  <c r="E35" i="4"/>
  <c r="F35" i="4"/>
  <c r="G35" i="4"/>
  <c r="H35" i="4"/>
  <c r="I35" i="4"/>
  <c r="J35" i="4"/>
  <c r="K35" i="4"/>
  <c r="L35" i="4"/>
  <c r="M35" i="4"/>
  <c r="N35" i="4"/>
  <c r="O35" i="4"/>
  <c r="D36" i="4"/>
  <c r="E36" i="4"/>
  <c r="F36" i="4"/>
  <c r="G36" i="4"/>
  <c r="H36" i="4"/>
  <c r="I36" i="4"/>
  <c r="J36" i="4"/>
  <c r="K36" i="4"/>
  <c r="L36" i="4"/>
  <c r="M36" i="4"/>
  <c r="N36" i="4"/>
  <c r="O36" i="4"/>
  <c r="D37" i="4"/>
  <c r="E37" i="4"/>
  <c r="F37" i="4"/>
  <c r="G37" i="4"/>
  <c r="H37" i="4"/>
  <c r="I37" i="4"/>
  <c r="J37" i="4"/>
  <c r="K37" i="4"/>
  <c r="L37" i="4"/>
  <c r="M37" i="4"/>
  <c r="N37" i="4"/>
  <c r="O37" i="4"/>
  <c r="D38" i="4"/>
  <c r="E38" i="4"/>
  <c r="F38" i="4"/>
  <c r="G38" i="4"/>
  <c r="H38" i="4"/>
  <c r="I38" i="4"/>
  <c r="J38" i="4"/>
  <c r="K38" i="4"/>
  <c r="L38" i="4"/>
  <c r="M38" i="4"/>
  <c r="N38" i="4"/>
  <c r="O38" i="4"/>
  <c r="D39" i="4"/>
  <c r="E39" i="4"/>
  <c r="F39" i="4"/>
  <c r="G39" i="4"/>
  <c r="H39" i="4"/>
  <c r="I39" i="4"/>
  <c r="J39" i="4"/>
  <c r="K39" i="4"/>
  <c r="L39" i="4"/>
  <c r="M39" i="4"/>
  <c r="N39" i="4"/>
  <c r="O39" i="4"/>
  <c r="D40" i="4"/>
  <c r="E40" i="4"/>
  <c r="F40" i="4"/>
  <c r="G40" i="4"/>
  <c r="H40" i="4"/>
  <c r="I40" i="4"/>
  <c r="J40" i="4"/>
  <c r="K40" i="4"/>
  <c r="L40" i="4"/>
  <c r="M40" i="4"/>
  <c r="N40" i="4"/>
  <c r="O40" i="4"/>
  <c r="D41" i="4"/>
  <c r="E41" i="4"/>
  <c r="F41" i="4"/>
  <c r="G41" i="4"/>
  <c r="H41" i="4"/>
  <c r="I41" i="4"/>
  <c r="J41" i="4"/>
  <c r="K41" i="4"/>
  <c r="L41" i="4"/>
  <c r="M41" i="4"/>
  <c r="N41" i="4"/>
  <c r="O41" i="4"/>
  <c r="D42" i="4"/>
  <c r="E42" i="4"/>
  <c r="F42" i="4"/>
  <c r="G42" i="4"/>
  <c r="H42" i="4"/>
  <c r="I42" i="4"/>
  <c r="J42" i="4"/>
  <c r="K42" i="4"/>
  <c r="L42" i="4"/>
  <c r="M42" i="4"/>
  <c r="N42" i="4"/>
  <c r="O42" i="4"/>
  <c r="D43" i="4"/>
  <c r="E43" i="4"/>
  <c r="F43" i="4"/>
  <c r="G43" i="4"/>
  <c r="H43" i="4"/>
  <c r="I43" i="4"/>
  <c r="J43" i="4"/>
  <c r="K43" i="4"/>
  <c r="L43" i="4"/>
  <c r="M43" i="4"/>
  <c r="N43" i="4"/>
  <c r="O43" i="4"/>
  <c r="D44" i="4"/>
  <c r="E44" i="4"/>
  <c r="F44" i="4"/>
  <c r="G44" i="4"/>
  <c r="H44" i="4"/>
  <c r="I44" i="4"/>
  <c r="J44" i="4"/>
  <c r="K44" i="4"/>
  <c r="L44" i="4"/>
  <c r="M44" i="4"/>
  <c r="N44" i="4"/>
  <c r="O44" i="4"/>
  <c r="D45" i="4"/>
  <c r="E45" i="4"/>
  <c r="F45" i="4"/>
  <c r="G45" i="4"/>
  <c r="H45" i="4"/>
  <c r="I45" i="4"/>
  <c r="J45" i="4"/>
  <c r="K45" i="4"/>
  <c r="L45" i="4"/>
  <c r="M45" i="4"/>
  <c r="N45" i="4"/>
  <c r="O45" i="4"/>
  <c r="D46" i="4"/>
  <c r="E46" i="4"/>
  <c r="F46" i="4"/>
  <c r="G46" i="4"/>
  <c r="H46" i="4"/>
  <c r="I46" i="4"/>
  <c r="J46" i="4"/>
  <c r="K46" i="4"/>
  <c r="L46" i="4"/>
  <c r="M46" i="4"/>
  <c r="N46" i="4"/>
  <c r="O46" i="4"/>
  <c r="D47" i="4"/>
  <c r="E47" i="4"/>
  <c r="F47" i="4"/>
  <c r="G47" i="4"/>
  <c r="H47" i="4"/>
  <c r="I47" i="4"/>
  <c r="J47" i="4"/>
  <c r="K47" i="4"/>
  <c r="L47" i="4"/>
  <c r="M47" i="4"/>
  <c r="N47" i="4"/>
  <c r="O47" i="4"/>
  <c r="D48" i="4"/>
  <c r="E48" i="4"/>
  <c r="F48" i="4"/>
  <c r="G48" i="4"/>
  <c r="H48" i="4"/>
  <c r="I48" i="4"/>
  <c r="J48" i="4"/>
  <c r="K48" i="4"/>
  <c r="L48" i="4"/>
  <c r="M48" i="4"/>
  <c r="N48" i="4"/>
  <c r="O48" i="4"/>
  <c r="D49" i="4"/>
  <c r="E49" i="4"/>
  <c r="F49" i="4"/>
  <c r="G49" i="4"/>
  <c r="H49" i="4"/>
  <c r="I49" i="4"/>
  <c r="J49" i="4"/>
  <c r="K49" i="4"/>
  <c r="L49" i="4"/>
  <c r="M49" i="4"/>
  <c r="N49" i="4"/>
  <c r="O49" i="4"/>
  <c r="D50" i="4"/>
  <c r="E50" i="4"/>
  <c r="F50" i="4"/>
  <c r="G50" i="4"/>
  <c r="H50" i="4"/>
  <c r="I50" i="4"/>
  <c r="J50" i="4"/>
  <c r="K50" i="4"/>
  <c r="L50" i="4"/>
  <c r="M50" i="4"/>
  <c r="N50" i="4"/>
  <c r="O50" i="4"/>
  <c r="D51" i="4"/>
  <c r="E51" i="4"/>
  <c r="F51" i="4"/>
  <c r="G51" i="4"/>
  <c r="H51" i="4"/>
  <c r="I51" i="4"/>
  <c r="J51" i="4"/>
  <c r="K51" i="4"/>
  <c r="L51" i="4"/>
  <c r="M51" i="4"/>
  <c r="N51" i="4"/>
  <c r="O51" i="4"/>
  <c r="D52" i="4"/>
  <c r="E52" i="4"/>
  <c r="F52" i="4"/>
  <c r="G52" i="4"/>
  <c r="H52" i="4"/>
  <c r="I52" i="4"/>
  <c r="J52" i="4"/>
  <c r="K52" i="4"/>
  <c r="L52" i="4"/>
  <c r="M52" i="4"/>
  <c r="N52" i="4"/>
  <c r="O52" i="4"/>
  <c r="D53" i="4"/>
  <c r="E53" i="4"/>
  <c r="F53" i="4"/>
  <c r="G53" i="4"/>
  <c r="H53" i="4"/>
  <c r="I53" i="4"/>
  <c r="J53" i="4"/>
  <c r="K53" i="4"/>
  <c r="L53" i="4"/>
  <c r="M53" i="4"/>
  <c r="N53" i="4"/>
  <c r="O53" i="4"/>
  <c r="D54" i="4"/>
  <c r="E54" i="4"/>
  <c r="F54" i="4"/>
  <c r="G54" i="4"/>
  <c r="H54" i="4"/>
  <c r="I54" i="4"/>
  <c r="J54" i="4"/>
  <c r="K54" i="4"/>
  <c r="L54" i="4"/>
  <c r="M54" i="4"/>
  <c r="N54" i="4"/>
  <c r="O54" i="4"/>
  <c r="D55" i="4"/>
  <c r="E55" i="4"/>
  <c r="F55" i="4"/>
  <c r="G55" i="4"/>
  <c r="H55" i="4"/>
  <c r="I55" i="4"/>
  <c r="J55" i="4"/>
  <c r="K55" i="4"/>
  <c r="L55" i="4"/>
  <c r="M55" i="4"/>
  <c r="N55" i="4"/>
  <c r="O55" i="4"/>
  <c r="D56" i="4"/>
  <c r="E56" i="4"/>
  <c r="F56" i="4"/>
  <c r="G56" i="4"/>
  <c r="H56" i="4"/>
  <c r="I56" i="4"/>
  <c r="J56" i="4"/>
  <c r="K56" i="4"/>
  <c r="L56" i="4"/>
  <c r="M56" i="4"/>
  <c r="N56" i="4"/>
  <c r="O56" i="4"/>
  <c r="D57" i="4"/>
  <c r="E57" i="4"/>
  <c r="F57" i="4"/>
  <c r="G57" i="4"/>
  <c r="H57" i="4"/>
  <c r="I57" i="4"/>
  <c r="J57" i="4"/>
  <c r="K57" i="4"/>
  <c r="L57" i="4"/>
  <c r="M57" i="4"/>
  <c r="N57" i="4"/>
  <c r="O57" i="4"/>
  <c r="D58" i="4"/>
  <c r="E58" i="4"/>
  <c r="F58" i="4"/>
  <c r="G58" i="4"/>
  <c r="H58" i="4"/>
  <c r="I58" i="4"/>
  <c r="J58" i="4"/>
  <c r="K58" i="4"/>
  <c r="L58" i="4"/>
  <c r="M58" i="4"/>
  <c r="N58" i="4"/>
  <c r="O58" i="4"/>
  <c r="D59" i="4"/>
  <c r="E59" i="4"/>
  <c r="F59" i="4"/>
  <c r="G59" i="4"/>
  <c r="H59" i="4"/>
  <c r="I59" i="4"/>
  <c r="J59" i="4"/>
  <c r="K59" i="4"/>
  <c r="L59" i="4"/>
  <c r="M59" i="4"/>
  <c r="N59" i="4"/>
  <c r="O59" i="4"/>
  <c r="D60" i="4"/>
  <c r="E60" i="4"/>
  <c r="F60" i="4"/>
  <c r="G60" i="4"/>
  <c r="H60" i="4"/>
  <c r="I60" i="4"/>
  <c r="J60" i="4"/>
  <c r="K60" i="4"/>
  <c r="L60" i="4"/>
  <c r="M60" i="4"/>
  <c r="N60" i="4"/>
  <c r="O60" i="4"/>
  <c r="D61" i="4"/>
  <c r="E61" i="4"/>
  <c r="F61" i="4"/>
  <c r="G61" i="4"/>
  <c r="H61" i="4"/>
  <c r="I61" i="4"/>
  <c r="J61" i="4"/>
  <c r="K61" i="4"/>
  <c r="L61" i="4"/>
  <c r="M61" i="4"/>
  <c r="N61" i="4"/>
  <c r="O61" i="4"/>
  <c r="D62" i="4"/>
  <c r="E62" i="4"/>
  <c r="F62" i="4"/>
  <c r="G62" i="4"/>
  <c r="H62" i="4"/>
  <c r="I62" i="4"/>
  <c r="J62" i="4"/>
  <c r="K62" i="4"/>
  <c r="L62" i="4"/>
  <c r="M62" i="4"/>
  <c r="N62" i="4"/>
  <c r="O62" i="4"/>
  <c r="D63" i="4"/>
  <c r="E63" i="4"/>
  <c r="F63" i="4"/>
  <c r="G63" i="4"/>
  <c r="H63" i="4"/>
  <c r="I63" i="4"/>
  <c r="J63" i="4"/>
  <c r="K63" i="4"/>
  <c r="L63" i="4"/>
  <c r="M63" i="4"/>
  <c r="N63" i="4"/>
  <c r="O63" i="4"/>
  <c r="D64" i="4"/>
  <c r="E64" i="4"/>
  <c r="F64" i="4"/>
  <c r="G64" i="4"/>
  <c r="H64" i="4"/>
  <c r="I64" i="4"/>
  <c r="J64" i="4"/>
  <c r="K64" i="4"/>
  <c r="L64" i="4"/>
  <c r="M64" i="4"/>
  <c r="N64" i="4"/>
  <c r="O64" i="4"/>
  <c r="D65" i="4"/>
  <c r="E65" i="4"/>
  <c r="F65" i="4"/>
  <c r="G65" i="4"/>
  <c r="H65" i="4"/>
  <c r="I65" i="4"/>
  <c r="J65" i="4"/>
  <c r="K65" i="4"/>
  <c r="L65" i="4"/>
  <c r="M65" i="4"/>
  <c r="N65" i="4"/>
  <c r="O65" i="4"/>
  <c r="D66" i="4"/>
  <c r="E66" i="4"/>
  <c r="F66" i="4"/>
  <c r="G66" i="4"/>
  <c r="H66" i="4"/>
  <c r="I66" i="4"/>
  <c r="J66" i="4"/>
  <c r="K66" i="4"/>
  <c r="L66" i="4"/>
  <c r="M66" i="4"/>
  <c r="N66" i="4"/>
  <c r="O66" i="4"/>
  <c r="D67" i="4"/>
  <c r="E67" i="4"/>
  <c r="F67" i="4"/>
  <c r="G67" i="4"/>
  <c r="H67" i="4"/>
  <c r="I67" i="4"/>
  <c r="J67" i="4"/>
  <c r="K67" i="4"/>
  <c r="L67" i="4"/>
  <c r="M67" i="4"/>
  <c r="N67" i="4"/>
  <c r="O67" i="4"/>
  <c r="D68" i="4"/>
  <c r="E68" i="4"/>
  <c r="F68" i="4"/>
  <c r="G68" i="4"/>
  <c r="H68" i="4"/>
  <c r="I68" i="4"/>
  <c r="J68" i="4"/>
  <c r="K68" i="4"/>
  <c r="L68" i="4"/>
  <c r="M68" i="4"/>
  <c r="N68" i="4"/>
  <c r="O68" i="4"/>
  <c r="D69" i="4"/>
  <c r="E69" i="4"/>
  <c r="F69" i="4"/>
  <c r="G69" i="4"/>
  <c r="H69" i="4"/>
  <c r="I69" i="4"/>
  <c r="J69" i="4"/>
  <c r="K69" i="4"/>
  <c r="L69" i="4"/>
  <c r="M69" i="4"/>
  <c r="N69" i="4"/>
  <c r="O69" i="4"/>
  <c r="D70" i="4"/>
  <c r="E70" i="4"/>
  <c r="F70" i="4"/>
  <c r="G70" i="4"/>
  <c r="H70" i="4"/>
  <c r="I70" i="4"/>
  <c r="J70" i="4"/>
  <c r="K70" i="4"/>
  <c r="L70" i="4"/>
  <c r="M70" i="4"/>
  <c r="N70" i="4"/>
  <c r="O70" i="4"/>
  <c r="D71" i="4"/>
  <c r="E71" i="4"/>
  <c r="F71" i="4"/>
  <c r="G71" i="4"/>
  <c r="H71" i="4"/>
  <c r="I71" i="4"/>
  <c r="J71" i="4"/>
  <c r="K71" i="4"/>
  <c r="L71" i="4"/>
  <c r="M71" i="4"/>
  <c r="N71" i="4"/>
  <c r="O71" i="4"/>
  <c r="D72" i="4"/>
  <c r="E72" i="4"/>
  <c r="F72" i="4"/>
  <c r="G72" i="4"/>
  <c r="H72" i="4"/>
  <c r="I72" i="4"/>
  <c r="J72" i="4"/>
  <c r="K72" i="4"/>
  <c r="L72" i="4"/>
  <c r="M72" i="4"/>
  <c r="N72" i="4"/>
  <c r="O72" i="4"/>
  <c r="D73" i="4"/>
  <c r="E73" i="4"/>
  <c r="F73" i="4"/>
  <c r="G73" i="4"/>
  <c r="H73" i="4"/>
  <c r="I73" i="4"/>
  <c r="J73" i="4"/>
  <c r="K73" i="4"/>
  <c r="L73" i="4"/>
  <c r="M73" i="4"/>
  <c r="N73" i="4"/>
  <c r="O73" i="4"/>
  <c r="D74" i="4"/>
  <c r="E74" i="4"/>
  <c r="F74" i="4"/>
  <c r="G74" i="4"/>
  <c r="H74" i="4"/>
  <c r="I74" i="4"/>
  <c r="J74" i="4"/>
  <c r="K74" i="4"/>
  <c r="L74" i="4"/>
  <c r="M74" i="4"/>
  <c r="N74" i="4"/>
  <c r="O74" i="4"/>
  <c r="D75" i="4"/>
  <c r="E75" i="4"/>
  <c r="F75" i="4"/>
  <c r="G75" i="4"/>
  <c r="H75" i="4"/>
  <c r="I75" i="4"/>
  <c r="J75" i="4"/>
  <c r="K75" i="4"/>
  <c r="L75" i="4"/>
  <c r="M75" i="4"/>
  <c r="N75" i="4"/>
  <c r="O75" i="4"/>
  <c r="D76" i="4"/>
  <c r="E76" i="4"/>
  <c r="F76" i="4"/>
  <c r="G76" i="4"/>
  <c r="H76" i="4"/>
  <c r="I76" i="4"/>
  <c r="J76" i="4"/>
  <c r="K76" i="4"/>
  <c r="L76" i="4"/>
  <c r="M76" i="4"/>
  <c r="N76" i="4"/>
  <c r="O76" i="4"/>
  <c r="D77" i="4"/>
  <c r="E77" i="4"/>
  <c r="F77" i="4"/>
  <c r="G77" i="4"/>
  <c r="H77" i="4"/>
  <c r="I77" i="4"/>
  <c r="J77" i="4"/>
  <c r="K77" i="4"/>
  <c r="L77" i="4"/>
  <c r="M77" i="4"/>
  <c r="N77" i="4"/>
  <c r="O77" i="4"/>
  <c r="D78" i="4"/>
  <c r="E78" i="4"/>
  <c r="F78" i="4"/>
  <c r="G78" i="4"/>
  <c r="H78" i="4"/>
  <c r="I78" i="4"/>
  <c r="J78" i="4"/>
  <c r="K78" i="4"/>
  <c r="L78" i="4"/>
  <c r="M78" i="4"/>
  <c r="N78" i="4"/>
  <c r="O78" i="4"/>
  <c r="D79" i="4"/>
  <c r="E79" i="4"/>
  <c r="F79" i="4"/>
  <c r="G79" i="4"/>
  <c r="H79" i="4"/>
  <c r="I79" i="4"/>
  <c r="J79" i="4"/>
  <c r="K79" i="4"/>
  <c r="L79" i="4"/>
  <c r="M79" i="4"/>
  <c r="N79" i="4"/>
  <c r="O79" i="4"/>
  <c r="D80" i="4"/>
  <c r="E80" i="4"/>
  <c r="F80" i="4"/>
  <c r="G80" i="4"/>
  <c r="H80" i="4"/>
  <c r="I80" i="4"/>
  <c r="J80" i="4"/>
  <c r="K80" i="4"/>
  <c r="L80" i="4"/>
  <c r="M80" i="4"/>
  <c r="N80" i="4"/>
  <c r="O80" i="4"/>
  <c r="D81" i="4"/>
  <c r="E81" i="4"/>
  <c r="F81" i="4"/>
  <c r="G81" i="4"/>
  <c r="H81" i="4"/>
  <c r="I81" i="4"/>
  <c r="J81" i="4"/>
  <c r="K81" i="4"/>
  <c r="L81" i="4"/>
  <c r="M81" i="4"/>
  <c r="N81" i="4"/>
  <c r="O81" i="4"/>
  <c r="D82" i="4"/>
  <c r="E82" i="4"/>
  <c r="F82" i="4"/>
  <c r="G82" i="4"/>
  <c r="H82" i="4"/>
  <c r="I82" i="4"/>
  <c r="J82" i="4"/>
  <c r="K82" i="4"/>
  <c r="L82" i="4"/>
  <c r="M82" i="4"/>
  <c r="N82" i="4"/>
  <c r="O82" i="4"/>
  <c r="D83" i="4"/>
  <c r="E83" i="4"/>
  <c r="F83" i="4"/>
  <c r="G83" i="4"/>
  <c r="H83" i="4"/>
  <c r="I83" i="4"/>
  <c r="J83" i="4"/>
  <c r="K83" i="4"/>
  <c r="L83" i="4"/>
  <c r="M83" i="4"/>
  <c r="N83" i="4"/>
  <c r="O83" i="4"/>
  <c r="D84" i="4"/>
  <c r="E84" i="4"/>
  <c r="F84" i="4"/>
  <c r="G84" i="4"/>
  <c r="H84" i="4"/>
  <c r="I84" i="4"/>
  <c r="J84" i="4"/>
  <c r="K84" i="4"/>
  <c r="L84" i="4"/>
  <c r="M84" i="4"/>
  <c r="N84" i="4"/>
  <c r="O84" i="4"/>
  <c r="D85" i="4"/>
  <c r="E85" i="4"/>
  <c r="F85" i="4"/>
  <c r="G85" i="4"/>
  <c r="H85" i="4"/>
  <c r="I85" i="4"/>
  <c r="J85" i="4"/>
  <c r="K85" i="4"/>
  <c r="L85" i="4"/>
  <c r="M85" i="4"/>
  <c r="N85" i="4"/>
  <c r="O85" i="4"/>
  <c r="D86" i="4"/>
  <c r="E86" i="4"/>
  <c r="F86" i="4"/>
  <c r="G86" i="4"/>
  <c r="H86" i="4"/>
  <c r="I86" i="4"/>
  <c r="J86" i="4"/>
  <c r="K86" i="4"/>
  <c r="L86" i="4"/>
  <c r="M86" i="4"/>
  <c r="N86" i="4"/>
  <c r="O86" i="4"/>
  <c r="D87" i="4"/>
  <c r="E87" i="4"/>
  <c r="F87" i="4"/>
  <c r="G87" i="4"/>
  <c r="H87" i="4"/>
  <c r="I87" i="4"/>
  <c r="J87" i="4"/>
  <c r="K87" i="4"/>
  <c r="L87" i="4"/>
  <c r="M87" i="4"/>
  <c r="N87" i="4"/>
  <c r="O87" i="4"/>
  <c r="D88" i="4"/>
  <c r="E88" i="4"/>
  <c r="F88" i="4"/>
  <c r="G88" i="4"/>
  <c r="H88" i="4"/>
  <c r="I88" i="4"/>
  <c r="J88" i="4"/>
  <c r="K88" i="4"/>
  <c r="L88" i="4"/>
  <c r="M88" i="4"/>
  <c r="N88" i="4"/>
  <c r="O88" i="4"/>
  <c r="D89" i="4"/>
  <c r="E89" i="4"/>
  <c r="F89" i="4"/>
  <c r="G89" i="4"/>
  <c r="H89" i="4"/>
  <c r="I89" i="4"/>
  <c r="J89" i="4"/>
  <c r="K89" i="4"/>
  <c r="L89" i="4"/>
  <c r="M89" i="4"/>
  <c r="N89" i="4"/>
  <c r="O89" i="4"/>
  <c r="D90" i="4"/>
  <c r="E90" i="4"/>
  <c r="F90" i="4"/>
  <c r="G90" i="4"/>
  <c r="H90" i="4"/>
  <c r="I90" i="4"/>
  <c r="J90" i="4"/>
  <c r="K90" i="4"/>
  <c r="L90" i="4"/>
  <c r="M90" i="4"/>
  <c r="N90" i="4"/>
  <c r="O90" i="4"/>
  <c r="D91" i="4"/>
  <c r="E91" i="4"/>
  <c r="F91" i="4"/>
  <c r="G91" i="4"/>
  <c r="H91" i="4"/>
  <c r="I91" i="4"/>
  <c r="J91" i="4"/>
  <c r="K91" i="4"/>
  <c r="L91" i="4"/>
  <c r="M91" i="4"/>
  <c r="N91" i="4"/>
  <c r="O91" i="4"/>
  <c r="D92" i="4"/>
  <c r="E92" i="4"/>
  <c r="F92" i="4"/>
  <c r="G92" i="4"/>
  <c r="H92" i="4"/>
  <c r="I92" i="4"/>
  <c r="J92" i="4"/>
  <c r="K92" i="4"/>
  <c r="L92" i="4"/>
  <c r="M92" i="4"/>
  <c r="N92" i="4"/>
  <c r="O92" i="4"/>
  <c r="D93" i="4"/>
  <c r="E93" i="4"/>
  <c r="F93" i="4"/>
  <c r="G93" i="4"/>
  <c r="H93" i="4"/>
  <c r="I93" i="4"/>
  <c r="J93" i="4"/>
  <c r="K93" i="4"/>
  <c r="L93" i="4"/>
  <c r="M93" i="4"/>
  <c r="N93" i="4"/>
  <c r="O93" i="4"/>
  <c r="D94" i="4"/>
  <c r="E94" i="4"/>
  <c r="F94" i="4"/>
  <c r="G94" i="4"/>
  <c r="H94" i="4"/>
  <c r="I94" i="4"/>
  <c r="J94" i="4"/>
  <c r="K94" i="4"/>
  <c r="L94" i="4"/>
  <c r="M94" i="4"/>
  <c r="N94" i="4"/>
  <c r="O94" i="4"/>
  <c r="D95" i="4"/>
  <c r="E95" i="4"/>
  <c r="F95" i="4"/>
  <c r="G95" i="4"/>
  <c r="H95" i="4"/>
  <c r="I95" i="4"/>
  <c r="J95" i="4"/>
  <c r="K95" i="4"/>
  <c r="L95" i="4"/>
  <c r="M95" i="4"/>
  <c r="N95" i="4"/>
  <c r="O95" i="4"/>
  <c r="D96" i="4"/>
  <c r="E96" i="4"/>
  <c r="F96" i="4"/>
  <c r="G96" i="4"/>
  <c r="H96" i="4"/>
  <c r="I96" i="4"/>
  <c r="J96" i="4"/>
  <c r="K96" i="4"/>
  <c r="L96" i="4"/>
  <c r="M96" i="4"/>
  <c r="N96" i="4"/>
  <c r="O96" i="4"/>
  <c r="D97" i="4"/>
  <c r="E97" i="4"/>
  <c r="F97" i="4"/>
  <c r="G97" i="4"/>
  <c r="H97" i="4"/>
  <c r="I97" i="4"/>
  <c r="J97" i="4"/>
  <c r="K97" i="4"/>
  <c r="L97" i="4"/>
  <c r="M97" i="4"/>
  <c r="N97" i="4"/>
  <c r="O97" i="4"/>
  <c r="D98" i="4"/>
  <c r="E98" i="4"/>
  <c r="F98" i="4"/>
  <c r="G98" i="4"/>
  <c r="H98" i="4"/>
  <c r="I98" i="4"/>
  <c r="J98" i="4"/>
  <c r="K98" i="4"/>
  <c r="L98" i="4"/>
  <c r="M98" i="4"/>
  <c r="N98" i="4"/>
  <c r="O98" i="4"/>
  <c r="D99" i="4"/>
  <c r="E99" i="4"/>
  <c r="F99" i="4"/>
  <c r="G99" i="4"/>
  <c r="H99" i="4"/>
  <c r="I99" i="4"/>
  <c r="J99" i="4"/>
  <c r="K99" i="4"/>
  <c r="L99" i="4"/>
  <c r="M99" i="4"/>
  <c r="N99" i="4"/>
  <c r="O99" i="4"/>
  <c r="D100" i="4"/>
  <c r="E100" i="4"/>
  <c r="F100" i="4"/>
  <c r="G100" i="4"/>
  <c r="H100" i="4"/>
  <c r="I100" i="4"/>
  <c r="J100" i="4"/>
  <c r="K100" i="4"/>
  <c r="L100" i="4"/>
  <c r="M100" i="4"/>
  <c r="N100" i="4"/>
  <c r="O100" i="4"/>
  <c r="D101" i="4"/>
  <c r="E101" i="4"/>
  <c r="F101" i="4"/>
  <c r="G101" i="4"/>
  <c r="H101" i="4"/>
  <c r="I101" i="4"/>
  <c r="J101" i="4"/>
  <c r="K101" i="4"/>
  <c r="L101" i="4"/>
  <c r="M101" i="4"/>
  <c r="N101" i="4"/>
  <c r="O101" i="4"/>
  <c r="D102" i="4"/>
  <c r="E102" i="4"/>
  <c r="F102" i="4"/>
  <c r="G102" i="4"/>
  <c r="H102" i="4"/>
  <c r="I102" i="4"/>
  <c r="J102" i="4"/>
  <c r="K102" i="4"/>
  <c r="L102" i="4"/>
  <c r="M102" i="4"/>
  <c r="N102" i="4"/>
  <c r="O102" i="4"/>
  <c r="D103" i="4"/>
  <c r="E103" i="4"/>
  <c r="F103" i="4"/>
  <c r="G103" i="4"/>
  <c r="H103" i="4"/>
  <c r="I103" i="4"/>
  <c r="J103" i="4"/>
  <c r="K103" i="4"/>
  <c r="L103" i="4"/>
  <c r="M103" i="4"/>
  <c r="N103" i="4"/>
  <c r="O103" i="4"/>
  <c r="D104" i="4"/>
  <c r="E104" i="4"/>
  <c r="F104" i="4"/>
  <c r="G104" i="4"/>
  <c r="H104" i="4"/>
  <c r="I104" i="4"/>
  <c r="J104" i="4"/>
  <c r="K104" i="4"/>
  <c r="L104" i="4"/>
  <c r="M104" i="4"/>
  <c r="N104" i="4"/>
  <c r="O104" i="4"/>
  <c r="D105" i="4"/>
  <c r="E105" i="4"/>
  <c r="F105" i="4"/>
  <c r="G105" i="4"/>
  <c r="H105" i="4"/>
  <c r="I105" i="4"/>
  <c r="J105" i="4"/>
  <c r="K105" i="4"/>
  <c r="L105" i="4"/>
  <c r="M105" i="4"/>
  <c r="N105" i="4"/>
  <c r="O105" i="4"/>
  <c r="D106" i="4"/>
  <c r="E106" i="4"/>
  <c r="F106" i="4"/>
  <c r="G106" i="4"/>
  <c r="H106" i="4"/>
  <c r="I106" i="4"/>
  <c r="J106" i="4"/>
  <c r="K106" i="4"/>
  <c r="L106" i="4"/>
  <c r="M106" i="4"/>
  <c r="N106" i="4"/>
  <c r="O106" i="4"/>
  <c r="D107" i="4"/>
  <c r="E107" i="4"/>
  <c r="F107" i="4"/>
  <c r="G107" i="4"/>
  <c r="H107" i="4"/>
  <c r="I107" i="4"/>
  <c r="J107" i="4"/>
  <c r="K107" i="4"/>
  <c r="L107" i="4"/>
  <c r="M107" i="4"/>
  <c r="N107" i="4"/>
  <c r="O107" i="4"/>
  <c r="D108" i="4"/>
  <c r="E108" i="4"/>
  <c r="F108" i="4"/>
  <c r="G108" i="4"/>
  <c r="H108" i="4"/>
  <c r="I108" i="4"/>
  <c r="J108" i="4"/>
  <c r="K108" i="4"/>
  <c r="L108" i="4"/>
  <c r="M108" i="4"/>
  <c r="N108" i="4"/>
  <c r="O108" i="4"/>
  <c r="D109" i="4"/>
  <c r="E109" i="4"/>
  <c r="F109" i="4"/>
  <c r="G109" i="4"/>
  <c r="H109" i="4"/>
  <c r="I109" i="4"/>
  <c r="J109" i="4"/>
  <c r="K109" i="4"/>
  <c r="L109" i="4"/>
  <c r="M109" i="4"/>
  <c r="N109" i="4"/>
  <c r="O109" i="4"/>
  <c r="D110" i="4"/>
  <c r="E110" i="4"/>
  <c r="F110" i="4"/>
  <c r="G110" i="4"/>
  <c r="H110" i="4"/>
  <c r="I110" i="4"/>
  <c r="J110" i="4"/>
  <c r="K110" i="4"/>
  <c r="L110" i="4"/>
  <c r="M110" i="4"/>
  <c r="N110" i="4"/>
  <c r="O110" i="4"/>
  <c r="D111" i="4"/>
  <c r="E111" i="4"/>
  <c r="F111" i="4"/>
  <c r="G111" i="4"/>
  <c r="H111" i="4"/>
  <c r="I111" i="4"/>
  <c r="J111" i="4"/>
  <c r="K111" i="4"/>
  <c r="L111" i="4"/>
  <c r="M111" i="4"/>
  <c r="N111" i="4"/>
  <c r="O111" i="4"/>
  <c r="D112" i="4"/>
  <c r="E112" i="4"/>
  <c r="F112" i="4"/>
  <c r="G112" i="4"/>
  <c r="H112" i="4"/>
  <c r="I112" i="4"/>
  <c r="J112" i="4"/>
  <c r="K112" i="4"/>
  <c r="L112" i="4"/>
  <c r="M112" i="4"/>
  <c r="N112" i="4"/>
  <c r="O112" i="4"/>
  <c r="D113" i="4"/>
  <c r="E113" i="4"/>
  <c r="F113" i="4"/>
  <c r="G113" i="4"/>
  <c r="H113" i="4"/>
  <c r="I113" i="4"/>
  <c r="J113" i="4"/>
  <c r="K113" i="4"/>
  <c r="L113" i="4"/>
  <c r="M113" i="4"/>
  <c r="N113" i="4"/>
  <c r="O113" i="4"/>
  <c r="D114" i="4"/>
  <c r="E114" i="4"/>
  <c r="F114" i="4"/>
  <c r="G114" i="4"/>
  <c r="H114" i="4"/>
  <c r="I114" i="4"/>
  <c r="J114" i="4"/>
  <c r="K114" i="4"/>
  <c r="L114" i="4"/>
  <c r="M114" i="4"/>
  <c r="N114" i="4"/>
  <c r="O114" i="4"/>
  <c r="D115" i="4"/>
  <c r="E115" i="4"/>
  <c r="F115" i="4"/>
  <c r="G115" i="4"/>
  <c r="H115" i="4"/>
  <c r="I115" i="4"/>
  <c r="J115" i="4"/>
  <c r="K115" i="4"/>
  <c r="L115" i="4"/>
  <c r="M115" i="4"/>
  <c r="N115" i="4"/>
  <c r="O115" i="4"/>
  <c r="D116" i="4"/>
  <c r="E116" i="4"/>
  <c r="F116" i="4"/>
  <c r="G116" i="4"/>
  <c r="H116" i="4"/>
  <c r="I116" i="4"/>
  <c r="J116" i="4"/>
  <c r="K116" i="4"/>
  <c r="L116" i="4"/>
  <c r="M116" i="4"/>
  <c r="N116" i="4"/>
  <c r="O116" i="4"/>
  <c r="D117" i="4"/>
  <c r="E117" i="4"/>
  <c r="F117" i="4"/>
  <c r="G117" i="4"/>
  <c r="H117" i="4"/>
  <c r="I117" i="4"/>
  <c r="J117" i="4"/>
  <c r="K117" i="4"/>
  <c r="L117" i="4"/>
  <c r="M117" i="4"/>
  <c r="N117" i="4"/>
  <c r="O117" i="4"/>
  <c r="D118" i="4"/>
  <c r="E118" i="4"/>
  <c r="F118" i="4"/>
  <c r="G118" i="4"/>
  <c r="H118" i="4"/>
  <c r="I118" i="4"/>
  <c r="J118" i="4"/>
  <c r="K118" i="4"/>
  <c r="L118" i="4"/>
  <c r="M118" i="4"/>
  <c r="N118" i="4"/>
  <c r="O118" i="4"/>
  <c r="D119" i="4"/>
  <c r="E119" i="4"/>
  <c r="F119" i="4"/>
  <c r="G119" i="4"/>
  <c r="H119" i="4"/>
  <c r="I119" i="4"/>
  <c r="J119" i="4"/>
  <c r="K119" i="4"/>
  <c r="L119" i="4"/>
  <c r="M119" i="4"/>
  <c r="N119" i="4"/>
  <c r="O119" i="4"/>
  <c r="D120" i="4"/>
  <c r="E120" i="4"/>
  <c r="F120" i="4"/>
  <c r="G120" i="4"/>
  <c r="H120" i="4"/>
  <c r="I120" i="4"/>
  <c r="J120" i="4"/>
  <c r="K120" i="4"/>
  <c r="L120" i="4"/>
  <c r="M120" i="4"/>
  <c r="N120" i="4"/>
  <c r="O120" i="4"/>
  <c r="D121" i="4"/>
  <c r="E121" i="4"/>
  <c r="F121" i="4"/>
  <c r="G121" i="4"/>
  <c r="H121" i="4"/>
  <c r="I121" i="4"/>
  <c r="J121" i="4"/>
  <c r="K121" i="4"/>
  <c r="L121" i="4"/>
  <c r="M121" i="4"/>
  <c r="N121" i="4"/>
  <c r="O121" i="4"/>
  <c r="D122" i="4"/>
  <c r="E122" i="4"/>
  <c r="F122" i="4"/>
  <c r="G122" i="4"/>
  <c r="H122" i="4"/>
  <c r="I122" i="4"/>
  <c r="J122" i="4"/>
  <c r="K122" i="4"/>
  <c r="L122" i="4"/>
  <c r="M122" i="4"/>
  <c r="N122" i="4"/>
  <c r="O122" i="4"/>
  <c r="E2" i="4"/>
  <c r="F2" i="4"/>
  <c r="G2" i="4"/>
  <c r="H2" i="4"/>
  <c r="I2" i="4"/>
  <c r="J2" i="4"/>
  <c r="K2" i="4"/>
  <c r="L2" i="4"/>
  <c r="M2" i="4"/>
  <c r="N2" i="4"/>
  <c r="O2" i="4"/>
  <c r="D2" i="4"/>
</calcChain>
</file>

<file path=xl/sharedStrings.xml><?xml version="1.0" encoding="utf-8"?>
<sst xmlns="http://schemas.openxmlformats.org/spreadsheetml/2006/main" count="2292" uniqueCount="144">
  <si>
    <t>Unidade Consumidora</t>
  </si>
  <si>
    <t>08/2024</t>
  </si>
  <si>
    <t>01/2025</t>
  </si>
  <si>
    <t>02/2025</t>
  </si>
  <si>
    <t>03/2025</t>
  </si>
  <si>
    <t>04/2025</t>
  </si>
  <si>
    <t>05/2025</t>
  </si>
  <si>
    <t>06/2025</t>
  </si>
  <si>
    <t>07/2025</t>
  </si>
  <si>
    <t>08/2025</t>
  </si>
  <si>
    <t>09/2025</t>
  </si>
  <si>
    <t>11/2025</t>
  </si>
  <si>
    <t>12/2025</t>
  </si>
  <si>
    <t>3314094</t>
  </si>
  <si>
    <t>B3 PODER PUBLICO -MUNICIPAL</t>
  </si>
  <si>
    <t>3315598</t>
  </si>
  <si>
    <t>B4a ILUMINAÇÃO PÚBLICA -ILUMINACAO PÚBL</t>
  </si>
  <si>
    <t>3315670</t>
  </si>
  <si>
    <t>3315672</t>
  </si>
  <si>
    <t>3315727</t>
  </si>
  <si>
    <t>3315728</t>
  </si>
  <si>
    <t>3315729</t>
  </si>
  <si>
    <t>3315786</t>
  </si>
  <si>
    <t>3315795</t>
  </si>
  <si>
    <t>3315835</t>
  </si>
  <si>
    <t>3315965</t>
  </si>
  <si>
    <t>3316090</t>
  </si>
  <si>
    <t>3316232</t>
  </si>
  <si>
    <t>3316233</t>
  </si>
  <si>
    <t>3316362</t>
  </si>
  <si>
    <t>3316376</t>
  </si>
  <si>
    <t>3316503</t>
  </si>
  <si>
    <t>3316504</t>
  </si>
  <si>
    <t>3316517</t>
  </si>
  <si>
    <t>3316724</t>
  </si>
  <si>
    <t>3316726</t>
  </si>
  <si>
    <t>3316831</t>
  </si>
  <si>
    <t>3317459</t>
  </si>
  <si>
    <t>3317594</t>
  </si>
  <si>
    <t>3317741</t>
  </si>
  <si>
    <t>3317746</t>
  </si>
  <si>
    <t>3317749</t>
  </si>
  <si>
    <t>3317750</t>
  </si>
  <si>
    <t>3317752</t>
  </si>
  <si>
    <t>3317753</t>
  </si>
  <si>
    <t>3317754</t>
  </si>
  <si>
    <t>3317756</t>
  </si>
  <si>
    <t>3317759</t>
  </si>
  <si>
    <t>3317762</t>
  </si>
  <si>
    <t>3317798</t>
  </si>
  <si>
    <t>3317799</t>
  </si>
  <si>
    <t>3317848</t>
  </si>
  <si>
    <t>3318220</t>
  </si>
  <si>
    <t>3318674</t>
  </si>
  <si>
    <t>3318688</t>
  </si>
  <si>
    <t>3318701</t>
  </si>
  <si>
    <t>3319394</t>
  </si>
  <si>
    <t>3319409</t>
  </si>
  <si>
    <t>3319603</t>
  </si>
  <si>
    <t>3319605</t>
  </si>
  <si>
    <t>3319606</t>
  </si>
  <si>
    <t>3319609</t>
  </si>
  <si>
    <t>3319642</t>
  </si>
  <si>
    <t>3319708</t>
  </si>
  <si>
    <t>3319729</t>
  </si>
  <si>
    <t>3320737</t>
  </si>
  <si>
    <t>3321145</t>
  </si>
  <si>
    <t>3321817</t>
  </si>
  <si>
    <t>3322177</t>
  </si>
  <si>
    <t>3322370</t>
  </si>
  <si>
    <t>3323341</t>
  </si>
  <si>
    <t>3323555</t>
  </si>
  <si>
    <t>3323556</t>
  </si>
  <si>
    <t>3326967</t>
  </si>
  <si>
    <t>3327728</t>
  </si>
  <si>
    <t>B3 SERVIÇO PÚBLICO - AGUA, ESGOTO E SANE</t>
  </si>
  <si>
    <t>3327949</t>
  </si>
  <si>
    <t>3327950</t>
  </si>
  <si>
    <t>3328102</t>
  </si>
  <si>
    <t>3328120</t>
  </si>
  <si>
    <t>3328121</t>
  </si>
  <si>
    <t>3328588</t>
  </si>
  <si>
    <t>3328612</t>
  </si>
  <si>
    <t>3328642</t>
  </si>
  <si>
    <t>3328844</t>
  </si>
  <si>
    <t>3328845</t>
  </si>
  <si>
    <t>3328957</t>
  </si>
  <si>
    <t>3329985</t>
  </si>
  <si>
    <t>3330001</t>
  </si>
  <si>
    <t>3330120</t>
  </si>
  <si>
    <t>3330325</t>
  </si>
  <si>
    <t>3330402</t>
  </si>
  <si>
    <t>3330651</t>
  </si>
  <si>
    <t>3330717</t>
  </si>
  <si>
    <t>3330759</t>
  </si>
  <si>
    <t>3331214</t>
  </si>
  <si>
    <t>3331215</t>
  </si>
  <si>
    <t>3331248</t>
  </si>
  <si>
    <t>3331249</t>
  </si>
  <si>
    <t>3331253</t>
  </si>
  <si>
    <t>3331266</t>
  </si>
  <si>
    <t>3331529</t>
  </si>
  <si>
    <t>3331644</t>
  </si>
  <si>
    <t>3331903</t>
  </si>
  <si>
    <t>3332090</t>
  </si>
  <si>
    <t>3332145</t>
  </si>
  <si>
    <t>3332176</t>
  </si>
  <si>
    <t>3332312</t>
  </si>
  <si>
    <t>3332350</t>
  </si>
  <si>
    <t>3332352</t>
  </si>
  <si>
    <t>3332353</t>
  </si>
  <si>
    <t>3332495</t>
  </si>
  <si>
    <t>3332699</t>
  </si>
  <si>
    <t>4129361</t>
  </si>
  <si>
    <t>5402028</t>
  </si>
  <si>
    <t>5604226</t>
  </si>
  <si>
    <t>5722780</t>
  </si>
  <si>
    <t>6055918</t>
  </si>
  <si>
    <t>6056801</t>
  </si>
  <si>
    <t>6056848</t>
  </si>
  <si>
    <t>6060423</t>
  </si>
  <si>
    <t>6636462</t>
  </si>
  <si>
    <t>6819353</t>
  </si>
  <si>
    <t>6819377</t>
  </si>
  <si>
    <t>6819381</t>
  </si>
  <si>
    <t>6819408</t>
  </si>
  <si>
    <t>6819418</t>
  </si>
  <si>
    <t>6941663</t>
  </si>
  <si>
    <t>7133320</t>
  </si>
  <si>
    <t>7133341</t>
  </si>
  <si>
    <t>7133382</t>
  </si>
  <si>
    <t>7133593</t>
  </si>
  <si>
    <t>8056418</t>
  </si>
  <si>
    <t>8056421</t>
  </si>
  <si>
    <t>8132662</t>
  </si>
  <si>
    <t>9057068</t>
  </si>
  <si>
    <t>9061471</t>
  </si>
  <si>
    <t>9116003</t>
  </si>
  <si>
    <t>9133801</t>
  </si>
  <si>
    <t>9165621</t>
  </si>
  <si>
    <t>9170342</t>
  </si>
  <si>
    <t>B1 RESIDENCIAL -RESIDENCIAL</t>
  </si>
  <si>
    <t>994528</t>
  </si>
  <si>
    <t>enquadramento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</si>
</sst>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Verdana"/>
    </font>
    <font>
      <sz val="8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4" fontId="1" fillId="2" borderId="0" xfId="0" applyNumberFormat="1" applyFont="1" applyFill="1" applyAlignment="1">
      <alignment horizontal="center" vertical="center"/>
    </xf>
    <xf numFmtId="0" fontId="0" fillId="2" borderId="0" xfId="0" applyFill="1"/>
    <xf numFmtId="4" fontId="0" fillId="0" borderId="0" xfId="0" applyNumberFormat="1"/>
    <xf numFmtId="0" fontId="2" fillId="2" borderId="0" xfId="0" applyFont="1" applyFill="1" applyAlignment="1">
      <alignment horizontal="center" vertical="center"/>
    </xf>
  </cellXfs>
  <cellStyles count="1">
    <cellStyle name="Normal" xfId="0" builtinId="0"/>
  </cellStyles>
  <dxfs count="7">
    <dxf>
      <fill>
        <patternFill>
          <bgColor theme="5"/>
        </patternFill>
      </fill>
    </dxf>
    <dxf>
      <fill>
        <patternFill>
          <bgColor rgb="FF0070C0"/>
        </patternFill>
      </fill>
    </dxf>
    <dxf>
      <fill>
        <patternFill>
          <bgColor theme="6" tint="0.39994506668294322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rgb="FF0070C0"/>
        </patternFill>
      </fill>
    </dxf>
    <dxf>
      <fill>
        <patternFill>
          <bgColor theme="6" tint="0.3999450666829432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27"/>
  <sheetViews>
    <sheetView topLeftCell="A55" workbookViewId="0">
      <selection activeCell="C55" sqref="C1:C1048576"/>
    </sheetView>
  </sheetViews>
  <sheetFormatPr defaultRowHeight="14.4" x14ac:dyDescent="0.3"/>
  <cols>
    <col min="1" max="1" width="23" customWidth="1"/>
    <col min="2" max="13" width="44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 s="1" t="s">
        <v>13</v>
      </c>
      <c r="B2" s="2">
        <v>0</v>
      </c>
      <c r="C2" s="1" t="s">
        <v>14</v>
      </c>
      <c r="D2" s="1" t="s">
        <v>14</v>
      </c>
      <c r="E2" s="1" t="s">
        <v>14</v>
      </c>
      <c r="F2" s="1" t="s">
        <v>14</v>
      </c>
      <c r="G2" s="1" t="s">
        <v>14</v>
      </c>
      <c r="H2" s="1" t="s">
        <v>14</v>
      </c>
      <c r="I2" s="1" t="s">
        <v>14</v>
      </c>
      <c r="J2" s="1" t="s">
        <v>14</v>
      </c>
      <c r="K2" s="1" t="s">
        <v>14</v>
      </c>
      <c r="L2" s="1" t="s">
        <v>14</v>
      </c>
      <c r="M2" s="1" t="s">
        <v>14</v>
      </c>
    </row>
    <row r="3" spans="1:13" x14ac:dyDescent="0.3">
      <c r="A3" s="1" t="s">
        <v>15</v>
      </c>
      <c r="B3" s="2">
        <v>0</v>
      </c>
      <c r="C3" s="1" t="s">
        <v>16</v>
      </c>
      <c r="D3" s="1" t="s">
        <v>16</v>
      </c>
      <c r="E3" s="1" t="s">
        <v>16</v>
      </c>
      <c r="F3" s="1" t="s">
        <v>16</v>
      </c>
      <c r="G3" s="1" t="s">
        <v>16</v>
      </c>
      <c r="H3" s="1" t="s">
        <v>16</v>
      </c>
      <c r="I3" s="1" t="s">
        <v>16</v>
      </c>
      <c r="J3" s="1" t="s">
        <v>16</v>
      </c>
      <c r="K3" s="1" t="s">
        <v>16</v>
      </c>
      <c r="L3" s="1" t="s">
        <v>16</v>
      </c>
      <c r="M3" s="1" t="s">
        <v>16</v>
      </c>
    </row>
    <row r="4" spans="1:13" x14ac:dyDescent="0.3">
      <c r="A4" s="1" t="s">
        <v>17</v>
      </c>
      <c r="B4" s="2">
        <v>0</v>
      </c>
      <c r="C4" s="1" t="s">
        <v>16</v>
      </c>
      <c r="D4" s="1" t="s">
        <v>16</v>
      </c>
      <c r="E4" s="1" t="s">
        <v>16</v>
      </c>
      <c r="F4" s="1" t="s">
        <v>16</v>
      </c>
      <c r="G4" s="1" t="s">
        <v>16</v>
      </c>
      <c r="H4" s="1" t="s">
        <v>16</v>
      </c>
      <c r="I4" s="1" t="s">
        <v>16</v>
      </c>
      <c r="J4" s="1" t="s">
        <v>16</v>
      </c>
      <c r="K4" s="1" t="s">
        <v>16</v>
      </c>
      <c r="L4" s="1" t="s">
        <v>16</v>
      </c>
      <c r="M4" s="1" t="s">
        <v>16</v>
      </c>
    </row>
    <row r="5" spans="1:13" x14ac:dyDescent="0.3">
      <c r="A5" s="1" t="s">
        <v>18</v>
      </c>
      <c r="B5" s="2">
        <v>0</v>
      </c>
      <c r="C5" s="1" t="s">
        <v>14</v>
      </c>
      <c r="D5" s="1" t="s">
        <v>14</v>
      </c>
      <c r="E5" s="1" t="s">
        <v>14</v>
      </c>
      <c r="F5" s="1" t="s">
        <v>14</v>
      </c>
      <c r="G5" s="1" t="s">
        <v>14</v>
      </c>
      <c r="H5" s="1" t="s">
        <v>14</v>
      </c>
      <c r="I5" s="1" t="s">
        <v>14</v>
      </c>
      <c r="J5" s="1" t="s">
        <v>14</v>
      </c>
      <c r="K5" s="1" t="s">
        <v>14</v>
      </c>
      <c r="L5" s="1" t="s">
        <v>14</v>
      </c>
      <c r="M5" s="1" t="s">
        <v>14</v>
      </c>
    </row>
    <row r="6" spans="1:13" x14ac:dyDescent="0.3">
      <c r="A6" s="1" t="s">
        <v>19</v>
      </c>
      <c r="B6" s="2">
        <v>0</v>
      </c>
      <c r="C6" s="1" t="s">
        <v>14</v>
      </c>
      <c r="D6" s="1" t="s">
        <v>14</v>
      </c>
      <c r="E6" s="1" t="s">
        <v>14</v>
      </c>
      <c r="F6" s="1" t="s">
        <v>14</v>
      </c>
      <c r="G6" s="1" t="s">
        <v>14</v>
      </c>
      <c r="H6" s="1" t="s">
        <v>14</v>
      </c>
      <c r="I6" s="1" t="s">
        <v>14</v>
      </c>
      <c r="J6" s="1" t="s">
        <v>14</v>
      </c>
      <c r="K6" s="2">
        <v>0</v>
      </c>
      <c r="L6" s="2">
        <v>0</v>
      </c>
      <c r="M6" s="2">
        <v>0</v>
      </c>
    </row>
    <row r="7" spans="1:13" x14ac:dyDescent="0.3">
      <c r="A7" s="1" t="s">
        <v>20</v>
      </c>
      <c r="B7" s="2">
        <v>0</v>
      </c>
      <c r="C7" s="1" t="s">
        <v>16</v>
      </c>
      <c r="D7" s="1" t="s">
        <v>16</v>
      </c>
      <c r="E7" s="1" t="s">
        <v>16</v>
      </c>
      <c r="F7" s="1" t="s">
        <v>16</v>
      </c>
      <c r="G7" s="1" t="s">
        <v>16</v>
      </c>
      <c r="H7" s="1" t="s">
        <v>16</v>
      </c>
      <c r="I7" s="1" t="s">
        <v>16</v>
      </c>
      <c r="J7" s="1" t="s">
        <v>16</v>
      </c>
      <c r="K7" s="1" t="s">
        <v>16</v>
      </c>
      <c r="L7" s="1" t="s">
        <v>16</v>
      </c>
      <c r="M7" s="1" t="s">
        <v>16</v>
      </c>
    </row>
    <row r="8" spans="1:13" x14ac:dyDescent="0.3">
      <c r="A8" s="1" t="s">
        <v>21</v>
      </c>
      <c r="B8" s="2">
        <v>0</v>
      </c>
      <c r="C8" s="1" t="s">
        <v>14</v>
      </c>
      <c r="D8" s="1" t="s">
        <v>14</v>
      </c>
      <c r="E8" s="1" t="s">
        <v>14</v>
      </c>
      <c r="F8" s="1" t="s">
        <v>14</v>
      </c>
      <c r="G8" s="1" t="s">
        <v>14</v>
      </c>
      <c r="H8" s="1" t="s">
        <v>14</v>
      </c>
      <c r="I8" s="1" t="s">
        <v>14</v>
      </c>
      <c r="J8" s="1" t="s">
        <v>14</v>
      </c>
      <c r="K8" s="1" t="s">
        <v>14</v>
      </c>
      <c r="L8" s="1" t="s">
        <v>14</v>
      </c>
      <c r="M8" s="1" t="s">
        <v>14</v>
      </c>
    </row>
    <row r="9" spans="1:13" x14ac:dyDescent="0.3">
      <c r="A9" s="1" t="s">
        <v>22</v>
      </c>
      <c r="B9" s="2">
        <v>0</v>
      </c>
      <c r="C9" s="1" t="s">
        <v>14</v>
      </c>
      <c r="D9" s="1" t="s">
        <v>14</v>
      </c>
      <c r="E9" s="1" t="s">
        <v>14</v>
      </c>
      <c r="F9" s="1" t="s">
        <v>14</v>
      </c>
      <c r="G9" s="1" t="s">
        <v>14</v>
      </c>
      <c r="H9" s="1" t="s">
        <v>14</v>
      </c>
      <c r="I9" s="1" t="s">
        <v>14</v>
      </c>
      <c r="J9" s="1" t="s">
        <v>14</v>
      </c>
      <c r="K9" s="1" t="s">
        <v>14</v>
      </c>
      <c r="L9" s="1" t="s">
        <v>14</v>
      </c>
      <c r="M9" s="1" t="s">
        <v>14</v>
      </c>
    </row>
    <row r="10" spans="1:13" x14ac:dyDescent="0.3">
      <c r="A10" s="1" t="s">
        <v>23</v>
      </c>
      <c r="B10" s="2">
        <v>0</v>
      </c>
      <c r="C10" s="1" t="s">
        <v>16</v>
      </c>
      <c r="D10" s="1" t="s">
        <v>16</v>
      </c>
      <c r="E10" s="1" t="s">
        <v>16</v>
      </c>
      <c r="F10" s="1" t="s">
        <v>16</v>
      </c>
      <c r="G10" s="1" t="s">
        <v>16</v>
      </c>
      <c r="H10" s="1" t="s">
        <v>16</v>
      </c>
      <c r="I10" s="1" t="s">
        <v>16</v>
      </c>
      <c r="J10" s="1" t="s">
        <v>16</v>
      </c>
      <c r="K10" s="1" t="s">
        <v>16</v>
      </c>
      <c r="L10" s="1" t="s">
        <v>16</v>
      </c>
      <c r="M10" s="1" t="s">
        <v>16</v>
      </c>
    </row>
    <row r="11" spans="1:13" x14ac:dyDescent="0.3">
      <c r="A11" s="1" t="s">
        <v>24</v>
      </c>
      <c r="B11" s="2">
        <v>0</v>
      </c>
      <c r="C11" s="1" t="s">
        <v>16</v>
      </c>
      <c r="D11" s="1" t="s">
        <v>16</v>
      </c>
      <c r="E11" s="1" t="s">
        <v>16</v>
      </c>
      <c r="F11" s="1" t="s">
        <v>16</v>
      </c>
      <c r="G11" s="1" t="s">
        <v>16</v>
      </c>
      <c r="H11" s="1" t="s">
        <v>16</v>
      </c>
      <c r="I11" s="1" t="s">
        <v>16</v>
      </c>
      <c r="J11" s="1" t="s">
        <v>16</v>
      </c>
      <c r="K11" s="1" t="s">
        <v>16</v>
      </c>
      <c r="L11" s="1" t="s">
        <v>16</v>
      </c>
      <c r="M11" s="1" t="s">
        <v>16</v>
      </c>
    </row>
    <row r="12" spans="1:13" x14ac:dyDescent="0.3">
      <c r="A12" s="1" t="s">
        <v>25</v>
      </c>
      <c r="B12" s="2">
        <v>0</v>
      </c>
      <c r="C12" s="1" t="s">
        <v>16</v>
      </c>
      <c r="D12" s="1" t="s">
        <v>16</v>
      </c>
      <c r="E12" s="1" t="s">
        <v>16</v>
      </c>
      <c r="F12" s="1" t="s">
        <v>16</v>
      </c>
      <c r="G12" s="1" t="s">
        <v>16</v>
      </c>
      <c r="H12" s="1" t="s">
        <v>16</v>
      </c>
      <c r="I12" s="1" t="s">
        <v>16</v>
      </c>
      <c r="J12" s="1" t="s">
        <v>16</v>
      </c>
      <c r="K12" s="1" t="s">
        <v>16</v>
      </c>
      <c r="L12" s="1" t="s">
        <v>16</v>
      </c>
      <c r="M12" s="1" t="s">
        <v>16</v>
      </c>
    </row>
    <row r="13" spans="1:13" x14ac:dyDescent="0.3">
      <c r="A13" s="1" t="s">
        <v>26</v>
      </c>
      <c r="B13" s="2">
        <v>0</v>
      </c>
      <c r="C13" s="1" t="s">
        <v>16</v>
      </c>
      <c r="D13" s="1" t="s">
        <v>16</v>
      </c>
      <c r="E13" s="1" t="s">
        <v>16</v>
      </c>
      <c r="F13" s="1" t="s">
        <v>16</v>
      </c>
      <c r="G13" s="1" t="s">
        <v>16</v>
      </c>
      <c r="H13" s="1" t="s">
        <v>16</v>
      </c>
      <c r="I13" s="1" t="s">
        <v>16</v>
      </c>
      <c r="J13" s="1" t="s">
        <v>16</v>
      </c>
      <c r="K13" s="1" t="s">
        <v>16</v>
      </c>
      <c r="L13" s="1" t="s">
        <v>16</v>
      </c>
      <c r="M13" s="1" t="s">
        <v>16</v>
      </c>
    </row>
    <row r="14" spans="1:13" x14ac:dyDescent="0.3">
      <c r="A14" s="1" t="s">
        <v>27</v>
      </c>
      <c r="B14" s="2">
        <v>0</v>
      </c>
      <c r="C14" s="1" t="s">
        <v>16</v>
      </c>
      <c r="D14" s="1" t="s">
        <v>16</v>
      </c>
      <c r="E14" s="1" t="s">
        <v>16</v>
      </c>
      <c r="F14" s="1" t="s">
        <v>16</v>
      </c>
      <c r="G14" s="1" t="s">
        <v>16</v>
      </c>
      <c r="H14" s="1" t="s">
        <v>16</v>
      </c>
      <c r="I14" s="1" t="s">
        <v>16</v>
      </c>
      <c r="J14" s="1" t="s">
        <v>16</v>
      </c>
      <c r="K14" s="1" t="s">
        <v>16</v>
      </c>
      <c r="L14" s="1" t="s">
        <v>16</v>
      </c>
      <c r="M14" s="1" t="s">
        <v>16</v>
      </c>
    </row>
    <row r="15" spans="1:13" x14ac:dyDescent="0.3">
      <c r="A15" s="1" t="s">
        <v>28</v>
      </c>
      <c r="B15" s="2">
        <v>0</v>
      </c>
      <c r="C15" s="1" t="s">
        <v>14</v>
      </c>
      <c r="D15" s="1" t="s">
        <v>14</v>
      </c>
      <c r="E15" s="1" t="s">
        <v>14</v>
      </c>
      <c r="F15" s="1" t="s">
        <v>14</v>
      </c>
      <c r="G15" s="1" t="s">
        <v>14</v>
      </c>
      <c r="H15" s="1" t="s">
        <v>14</v>
      </c>
      <c r="I15" s="1" t="s">
        <v>14</v>
      </c>
      <c r="J15" s="1" t="s">
        <v>14</v>
      </c>
      <c r="K15" s="1" t="s">
        <v>14</v>
      </c>
      <c r="L15" s="1" t="s">
        <v>14</v>
      </c>
      <c r="M15" s="1" t="s">
        <v>14</v>
      </c>
    </row>
    <row r="16" spans="1:13" x14ac:dyDescent="0.3">
      <c r="A16" s="1" t="s">
        <v>29</v>
      </c>
      <c r="B16" s="2">
        <v>0</v>
      </c>
      <c r="C16" s="1" t="s">
        <v>14</v>
      </c>
      <c r="D16" s="1" t="s">
        <v>14</v>
      </c>
      <c r="E16" s="1" t="s">
        <v>14</v>
      </c>
      <c r="F16" s="1" t="s">
        <v>14</v>
      </c>
      <c r="G16" s="1" t="s">
        <v>14</v>
      </c>
      <c r="H16" s="1" t="s">
        <v>14</v>
      </c>
      <c r="I16" s="1" t="s">
        <v>14</v>
      </c>
      <c r="J16" s="1" t="s">
        <v>14</v>
      </c>
      <c r="K16" s="1" t="s">
        <v>14</v>
      </c>
      <c r="L16" s="1" t="s">
        <v>14</v>
      </c>
      <c r="M16" s="1" t="s">
        <v>14</v>
      </c>
    </row>
    <row r="17" spans="1:13" x14ac:dyDescent="0.3">
      <c r="A17" s="1" t="s">
        <v>30</v>
      </c>
      <c r="B17" s="2">
        <v>0</v>
      </c>
      <c r="C17" s="1" t="s">
        <v>16</v>
      </c>
      <c r="D17" s="1" t="s">
        <v>16</v>
      </c>
      <c r="E17" s="1" t="s">
        <v>16</v>
      </c>
      <c r="F17" s="1" t="s">
        <v>16</v>
      </c>
      <c r="G17" s="1" t="s">
        <v>16</v>
      </c>
      <c r="H17" s="1" t="s">
        <v>16</v>
      </c>
      <c r="I17" s="1" t="s">
        <v>16</v>
      </c>
      <c r="J17" s="1" t="s">
        <v>16</v>
      </c>
      <c r="K17" s="1" t="s">
        <v>16</v>
      </c>
      <c r="L17" s="1" t="s">
        <v>16</v>
      </c>
      <c r="M17" s="1" t="s">
        <v>16</v>
      </c>
    </row>
    <row r="18" spans="1:13" x14ac:dyDescent="0.3">
      <c r="A18" s="1" t="s">
        <v>31</v>
      </c>
      <c r="B18" s="2">
        <v>0</v>
      </c>
      <c r="C18" s="1" t="s">
        <v>16</v>
      </c>
      <c r="D18" s="1" t="s">
        <v>16</v>
      </c>
      <c r="E18" s="1" t="s">
        <v>16</v>
      </c>
      <c r="F18" s="1" t="s">
        <v>16</v>
      </c>
      <c r="G18" s="1" t="s">
        <v>16</v>
      </c>
      <c r="H18" s="1" t="s">
        <v>16</v>
      </c>
      <c r="I18" s="1" t="s">
        <v>16</v>
      </c>
      <c r="J18" s="1" t="s">
        <v>16</v>
      </c>
      <c r="K18" s="1" t="s">
        <v>16</v>
      </c>
      <c r="L18" s="1" t="s">
        <v>16</v>
      </c>
      <c r="M18" s="1" t="s">
        <v>16</v>
      </c>
    </row>
    <row r="19" spans="1:13" x14ac:dyDescent="0.3">
      <c r="A19" s="1" t="s">
        <v>32</v>
      </c>
      <c r="B19" s="2">
        <v>0</v>
      </c>
      <c r="C19" s="1" t="s">
        <v>16</v>
      </c>
      <c r="D19" s="1" t="s">
        <v>16</v>
      </c>
      <c r="E19" s="1" t="s">
        <v>16</v>
      </c>
      <c r="F19" s="1" t="s">
        <v>16</v>
      </c>
      <c r="G19" s="1" t="s">
        <v>16</v>
      </c>
      <c r="H19" s="1" t="s">
        <v>16</v>
      </c>
      <c r="I19" s="1" t="s">
        <v>16</v>
      </c>
      <c r="J19" s="1" t="s">
        <v>16</v>
      </c>
      <c r="K19" s="1" t="s">
        <v>16</v>
      </c>
      <c r="L19" s="1" t="s">
        <v>16</v>
      </c>
      <c r="M19" s="1" t="s">
        <v>16</v>
      </c>
    </row>
    <row r="20" spans="1:13" x14ac:dyDescent="0.3">
      <c r="A20" s="1" t="s">
        <v>33</v>
      </c>
      <c r="B20" s="2">
        <v>0</v>
      </c>
      <c r="C20" s="1" t="s">
        <v>14</v>
      </c>
      <c r="D20" s="1" t="s">
        <v>14</v>
      </c>
      <c r="E20" s="1" t="s">
        <v>14</v>
      </c>
      <c r="F20" s="1" t="s">
        <v>14</v>
      </c>
      <c r="G20" s="1" t="s">
        <v>14</v>
      </c>
      <c r="H20" s="1" t="s">
        <v>14</v>
      </c>
      <c r="I20" s="1" t="s">
        <v>14</v>
      </c>
      <c r="J20" s="1" t="s">
        <v>14</v>
      </c>
      <c r="K20" s="1" t="s">
        <v>14</v>
      </c>
      <c r="L20" s="1" t="s">
        <v>14</v>
      </c>
      <c r="M20" s="1" t="s">
        <v>14</v>
      </c>
    </row>
    <row r="21" spans="1:13" x14ac:dyDescent="0.3">
      <c r="A21" s="1" t="s">
        <v>34</v>
      </c>
      <c r="B21" s="2">
        <v>0</v>
      </c>
      <c r="C21" s="1" t="s">
        <v>14</v>
      </c>
      <c r="D21" s="1" t="s">
        <v>14</v>
      </c>
      <c r="E21" s="1" t="s">
        <v>14</v>
      </c>
      <c r="F21" s="1" t="s">
        <v>14</v>
      </c>
      <c r="G21" s="1" t="s">
        <v>14</v>
      </c>
      <c r="H21" s="1" t="s">
        <v>14</v>
      </c>
      <c r="I21" s="1" t="s">
        <v>14</v>
      </c>
      <c r="J21" s="1" t="s">
        <v>14</v>
      </c>
      <c r="K21" s="1" t="s">
        <v>14</v>
      </c>
      <c r="L21" s="1" t="s">
        <v>14</v>
      </c>
      <c r="M21" s="1" t="s">
        <v>14</v>
      </c>
    </row>
    <row r="22" spans="1:13" x14ac:dyDescent="0.3">
      <c r="A22" s="1" t="s">
        <v>35</v>
      </c>
      <c r="B22" s="2">
        <v>0</v>
      </c>
      <c r="C22" s="1" t="s">
        <v>14</v>
      </c>
      <c r="D22" s="1" t="s">
        <v>14</v>
      </c>
      <c r="E22" s="1" t="s">
        <v>14</v>
      </c>
      <c r="F22" s="1" t="s">
        <v>14</v>
      </c>
      <c r="G22" s="1" t="s">
        <v>14</v>
      </c>
      <c r="H22" s="1" t="s">
        <v>14</v>
      </c>
      <c r="I22" s="1" t="s">
        <v>14</v>
      </c>
      <c r="J22" s="1" t="s">
        <v>14</v>
      </c>
      <c r="K22" s="1" t="s">
        <v>14</v>
      </c>
      <c r="L22" s="1" t="s">
        <v>14</v>
      </c>
      <c r="M22" s="1" t="s">
        <v>14</v>
      </c>
    </row>
    <row r="23" spans="1:13" x14ac:dyDescent="0.3">
      <c r="A23" s="1" t="s">
        <v>36</v>
      </c>
      <c r="B23" s="2">
        <v>0</v>
      </c>
      <c r="C23" s="1" t="s">
        <v>14</v>
      </c>
      <c r="D23" s="1" t="s">
        <v>14</v>
      </c>
      <c r="E23" s="1" t="s">
        <v>14</v>
      </c>
      <c r="F23" s="1" t="s">
        <v>14</v>
      </c>
      <c r="G23" s="1" t="s">
        <v>14</v>
      </c>
      <c r="H23" s="1" t="s">
        <v>14</v>
      </c>
      <c r="I23" s="1" t="s">
        <v>14</v>
      </c>
      <c r="J23" s="1" t="s">
        <v>14</v>
      </c>
      <c r="K23" s="1" t="s">
        <v>14</v>
      </c>
      <c r="L23" s="1" t="s">
        <v>14</v>
      </c>
      <c r="M23" s="1" t="s">
        <v>14</v>
      </c>
    </row>
    <row r="24" spans="1:13" x14ac:dyDescent="0.3">
      <c r="A24" s="1" t="s">
        <v>37</v>
      </c>
      <c r="B24" s="2">
        <v>0</v>
      </c>
      <c r="C24" s="1" t="s">
        <v>16</v>
      </c>
      <c r="D24" s="1" t="s">
        <v>16</v>
      </c>
      <c r="E24" s="1" t="s">
        <v>16</v>
      </c>
      <c r="F24" s="1" t="s">
        <v>16</v>
      </c>
      <c r="G24" s="1" t="s">
        <v>16</v>
      </c>
      <c r="H24" s="1" t="s">
        <v>16</v>
      </c>
      <c r="I24" s="1" t="s">
        <v>16</v>
      </c>
      <c r="J24" s="1" t="s">
        <v>16</v>
      </c>
      <c r="K24" s="1" t="s">
        <v>16</v>
      </c>
      <c r="L24" s="1" t="s">
        <v>16</v>
      </c>
      <c r="M24" s="1" t="s">
        <v>16</v>
      </c>
    </row>
    <row r="25" spans="1:13" x14ac:dyDescent="0.3">
      <c r="A25" s="1" t="s">
        <v>38</v>
      </c>
      <c r="B25" s="2">
        <v>0</v>
      </c>
      <c r="C25" s="1" t="s">
        <v>16</v>
      </c>
      <c r="D25" s="1" t="s">
        <v>16</v>
      </c>
      <c r="E25" s="1" t="s">
        <v>16</v>
      </c>
      <c r="F25" s="1" t="s">
        <v>16</v>
      </c>
      <c r="G25" s="1" t="s">
        <v>16</v>
      </c>
      <c r="H25" s="1" t="s">
        <v>16</v>
      </c>
      <c r="I25" s="1" t="s">
        <v>16</v>
      </c>
      <c r="J25" s="1" t="s">
        <v>16</v>
      </c>
      <c r="K25" s="1" t="s">
        <v>16</v>
      </c>
      <c r="L25" s="1" t="s">
        <v>16</v>
      </c>
      <c r="M25" s="1" t="s">
        <v>16</v>
      </c>
    </row>
    <row r="26" spans="1:13" x14ac:dyDescent="0.3">
      <c r="A26" s="1" t="s">
        <v>39</v>
      </c>
      <c r="B26" s="2">
        <v>0</v>
      </c>
      <c r="C26" s="1" t="s">
        <v>16</v>
      </c>
      <c r="D26" s="1" t="s">
        <v>16</v>
      </c>
      <c r="E26" s="1" t="s">
        <v>16</v>
      </c>
      <c r="F26" s="1" t="s">
        <v>16</v>
      </c>
      <c r="G26" s="1" t="s">
        <v>16</v>
      </c>
      <c r="H26" s="1" t="s">
        <v>16</v>
      </c>
      <c r="I26" s="1" t="s">
        <v>16</v>
      </c>
      <c r="J26" s="1" t="s">
        <v>16</v>
      </c>
      <c r="K26" s="1" t="s">
        <v>16</v>
      </c>
      <c r="L26" s="1" t="s">
        <v>16</v>
      </c>
      <c r="M26" s="1" t="s">
        <v>16</v>
      </c>
    </row>
    <row r="27" spans="1:13" x14ac:dyDescent="0.3">
      <c r="A27" s="1" t="s">
        <v>40</v>
      </c>
      <c r="B27" s="2">
        <v>0</v>
      </c>
      <c r="C27" s="1" t="s">
        <v>14</v>
      </c>
      <c r="D27" s="1" t="s">
        <v>14</v>
      </c>
      <c r="E27" s="1" t="s">
        <v>14</v>
      </c>
      <c r="F27" s="1" t="s">
        <v>14</v>
      </c>
      <c r="G27" s="1" t="s">
        <v>14</v>
      </c>
      <c r="H27" s="1" t="s">
        <v>14</v>
      </c>
      <c r="I27" s="1" t="s">
        <v>14</v>
      </c>
      <c r="J27" s="1" t="s">
        <v>14</v>
      </c>
      <c r="K27" s="1" t="s">
        <v>14</v>
      </c>
      <c r="L27" s="1" t="s">
        <v>14</v>
      </c>
      <c r="M27" s="1" t="s">
        <v>14</v>
      </c>
    </row>
    <row r="28" spans="1:13" x14ac:dyDescent="0.3">
      <c r="A28" s="1" t="s">
        <v>41</v>
      </c>
      <c r="B28" s="2">
        <v>0</v>
      </c>
      <c r="C28" s="1" t="s">
        <v>16</v>
      </c>
      <c r="D28" s="1" t="s">
        <v>16</v>
      </c>
      <c r="E28" s="1" t="s">
        <v>16</v>
      </c>
      <c r="F28" s="1" t="s">
        <v>16</v>
      </c>
      <c r="G28" s="1" t="s">
        <v>16</v>
      </c>
      <c r="H28" s="1" t="s">
        <v>16</v>
      </c>
      <c r="I28" s="1" t="s">
        <v>16</v>
      </c>
      <c r="J28" s="1" t="s">
        <v>16</v>
      </c>
      <c r="K28" s="1" t="s">
        <v>16</v>
      </c>
      <c r="L28" s="1" t="s">
        <v>16</v>
      </c>
      <c r="M28" s="1" t="s">
        <v>16</v>
      </c>
    </row>
    <row r="29" spans="1:13" x14ac:dyDescent="0.3">
      <c r="A29" s="1" t="s">
        <v>42</v>
      </c>
      <c r="B29" s="2">
        <v>0</v>
      </c>
      <c r="C29" s="1" t="s">
        <v>14</v>
      </c>
      <c r="D29" s="1" t="s">
        <v>14</v>
      </c>
      <c r="E29" s="1" t="s">
        <v>14</v>
      </c>
      <c r="F29" s="1" t="s">
        <v>14</v>
      </c>
      <c r="G29" s="1" t="s">
        <v>14</v>
      </c>
      <c r="H29" s="1" t="s">
        <v>14</v>
      </c>
      <c r="I29" s="1" t="s">
        <v>14</v>
      </c>
      <c r="J29" s="1" t="s">
        <v>14</v>
      </c>
      <c r="K29" s="1" t="s">
        <v>14</v>
      </c>
      <c r="L29" s="1" t="s">
        <v>14</v>
      </c>
      <c r="M29" s="1" t="s">
        <v>14</v>
      </c>
    </row>
    <row r="30" spans="1:13" x14ac:dyDescent="0.3">
      <c r="A30" s="1" t="s">
        <v>43</v>
      </c>
      <c r="B30" s="2">
        <v>0</v>
      </c>
      <c r="C30" s="1" t="s">
        <v>14</v>
      </c>
      <c r="D30" s="1" t="s">
        <v>14</v>
      </c>
      <c r="E30" s="1" t="s">
        <v>14</v>
      </c>
      <c r="F30" s="1" t="s">
        <v>14</v>
      </c>
      <c r="G30" s="1" t="s">
        <v>14</v>
      </c>
      <c r="H30" s="1" t="s">
        <v>14</v>
      </c>
      <c r="I30" s="1" t="s">
        <v>14</v>
      </c>
      <c r="J30" s="1" t="s">
        <v>14</v>
      </c>
      <c r="K30" s="1" t="s">
        <v>14</v>
      </c>
      <c r="L30" s="1" t="s">
        <v>14</v>
      </c>
      <c r="M30" s="1" t="s">
        <v>14</v>
      </c>
    </row>
    <row r="31" spans="1:13" x14ac:dyDescent="0.3">
      <c r="A31" s="1" t="s">
        <v>44</v>
      </c>
      <c r="B31" s="2">
        <v>0</v>
      </c>
      <c r="C31" s="1" t="s">
        <v>14</v>
      </c>
      <c r="D31" s="1" t="s">
        <v>14</v>
      </c>
      <c r="E31" s="1" t="s">
        <v>14</v>
      </c>
      <c r="F31" s="1" t="s">
        <v>14</v>
      </c>
      <c r="G31" s="1" t="s">
        <v>14</v>
      </c>
      <c r="H31" s="1" t="s">
        <v>14</v>
      </c>
      <c r="I31" s="1" t="s">
        <v>14</v>
      </c>
      <c r="J31" s="1" t="s">
        <v>14</v>
      </c>
      <c r="K31" s="1" t="s">
        <v>14</v>
      </c>
      <c r="L31" s="1" t="s">
        <v>14</v>
      </c>
      <c r="M31" s="1" t="s">
        <v>14</v>
      </c>
    </row>
    <row r="32" spans="1:13" x14ac:dyDescent="0.3">
      <c r="A32" s="1" t="s">
        <v>45</v>
      </c>
      <c r="B32" s="2">
        <v>0</v>
      </c>
      <c r="C32" s="1" t="s">
        <v>14</v>
      </c>
      <c r="D32" s="1" t="s">
        <v>14</v>
      </c>
      <c r="E32" s="1" t="s">
        <v>14</v>
      </c>
      <c r="F32" s="1" t="s">
        <v>14</v>
      </c>
      <c r="G32" s="1" t="s">
        <v>14</v>
      </c>
      <c r="H32" s="1" t="s">
        <v>14</v>
      </c>
      <c r="I32" s="1" t="s">
        <v>14</v>
      </c>
      <c r="J32" s="1" t="s">
        <v>14</v>
      </c>
      <c r="K32" s="1" t="s">
        <v>14</v>
      </c>
      <c r="L32" s="1" t="s">
        <v>14</v>
      </c>
      <c r="M32" s="1" t="s">
        <v>14</v>
      </c>
    </row>
    <row r="33" spans="1:13" x14ac:dyDescent="0.3">
      <c r="A33" s="1" t="s">
        <v>46</v>
      </c>
      <c r="B33" s="2">
        <v>0</v>
      </c>
      <c r="C33" s="1" t="s">
        <v>14</v>
      </c>
      <c r="D33" s="1" t="s">
        <v>14</v>
      </c>
      <c r="E33" s="1" t="s">
        <v>14</v>
      </c>
      <c r="F33" s="1" t="s">
        <v>14</v>
      </c>
      <c r="G33" s="1" t="s">
        <v>14</v>
      </c>
      <c r="H33" s="1" t="s">
        <v>14</v>
      </c>
      <c r="I33" s="1" t="s">
        <v>14</v>
      </c>
      <c r="J33" s="1" t="s">
        <v>14</v>
      </c>
      <c r="K33" s="1" t="s">
        <v>14</v>
      </c>
      <c r="L33" s="1" t="s">
        <v>14</v>
      </c>
      <c r="M33" s="1" t="s">
        <v>14</v>
      </c>
    </row>
    <row r="34" spans="1:13" x14ac:dyDescent="0.3">
      <c r="A34" s="1" t="s">
        <v>47</v>
      </c>
      <c r="B34" s="2">
        <v>0</v>
      </c>
      <c r="C34" s="1" t="s">
        <v>14</v>
      </c>
      <c r="D34" s="1" t="s">
        <v>14</v>
      </c>
      <c r="E34" s="1" t="s">
        <v>14</v>
      </c>
      <c r="F34" s="1" t="s">
        <v>14</v>
      </c>
      <c r="G34" s="1" t="s">
        <v>14</v>
      </c>
      <c r="H34" s="1" t="s">
        <v>14</v>
      </c>
      <c r="I34" s="1" t="s">
        <v>14</v>
      </c>
      <c r="J34" s="1" t="s">
        <v>14</v>
      </c>
      <c r="K34" s="1" t="s">
        <v>14</v>
      </c>
      <c r="L34" s="1" t="s">
        <v>14</v>
      </c>
      <c r="M34" s="1" t="s">
        <v>14</v>
      </c>
    </row>
    <row r="35" spans="1:13" x14ac:dyDescent="0.3">
      <c r="A35" s="1" t="s">
        <v>48</v>
      </c>
      <c r="B35" s="2">
        <v>0</v>
      </c>
      <c r="C35" s="1" t="s">
        <v>14</v>
      </c>
      <c r="D35" s="1" t="s">
        <v>14</v>
      </c>
      <c r="E35" s="1" t="s">
        <v>14</v>
      </c>
      <c r="F35" s="1" t="s">
        <v>14</v>
      </c>
      <c r="G35" s="1" t="s">
        <v>14</v>
      </c>
      <c r="H35" s="1" t="s">
        <v>14</v>
      </c>
      <c r="I35" s="1" t="s">
        <v>14</v>
      </c>
      <c r="J35" s="1" t="s">
        <v>14</v>
      </c>
      <c r="K35" s="1" t="s">
        <v>14</v>
      </c>
      <c r="L35" s="1" t="s">
        <v>14</v>
      </c>
      <c r="M35" s="1" t="s">
        <v>14</v>
      </c>
    </row>
    <row r="36" spans="1:13" x14ac:dyDescent="0.3">
      <c r="A36" s="1" t="s">
        <v>49</v>
      </c>
      <c r="B36" s="2">
        <v>0</v>
      </c>
      <c r="C36" s="1" t="s">
        <v>14</v>
      </c>
      <c r="D36" s="1" t="s">
        <v>14</v>
      </c>
      <c r="E36" s="1" t="s">
        <v>14</v>
      </c>
      <c r="F36" s="1" t="s">
        <v>14</v>
      </c>
      <c r="G36" s="1" t="s">
        <v>14</v>
      </c>
      <c r="H36" s="1" t="s">
        <v>14</v>
      </c>
      <c r="I36" s="1" t="s">
        <v>14</v>
      </c>
      <c r="J36" s="1" t="s">
        <v>14</v>
      </c>
      <c r="K36" s="1" t="s">
        <v>14</v>
      </c>
      <c r="L36" s="1" t="s">
        <v>14</v>
      </c>
      <c r="M36" s="1" t="s">
        <v>14</v>
      </c>
    </row>
    <row r="37" spans="1:13" x14ac:dyDescent="0.3">
      <c r="A37" s="1" t="s">
        <v>50</v>
      </c>
      <c r="B37" s="2">
        <v>0</v>
      </c>
      <c r="C37" s="1" t="s">
        <v>14</v>
      </c>
      <c r="D37" s="1" t="s">
        <v>14</v>
      </c>
      <c r="E37" s="1" t="s">
        <v>14</v>
      </c>
      <c r="F37" s="1" t="s">
        <v>14</v>
      </c>
      <c r="G37" s="1" t="s">
        <v>14</v>
      </c>
      <c r="H37" s="1" t="s">
        <v>14</v>
      </c>
      <c r="I37" s="1" t="s">
        <v>14</v>
      </c>
      <c r="J37" s="1" t="s">
        <v>14</v>
      </c>
      <c r="K37" s="1" t="s">
        <v>14</v>
      </c>
      <c r="L37" s="1" t="s">
        <v>14</v>
      </c>
      <c r="M37" s="1" t="s">
        <v>14</v>
      </c>
    </row>
    <row r="38" spans="1:13" x14ac:dyDescent="0.3">
      <c r="A38" s="1" t="s">
        <v>51</v>
      </c>
      <c r="B38" s="2">
        <v>0</v>
      </c>
      <c r="C38" s="1" t="s">
        <v>14</v>
      </c>
      <c r="D38" s="1" t="s">
        <v>14</v>
      </c>
      <c r="E38" s="1" t="s">
        <v>14</v>
      </c>
      <c r="F38" s="1" t="s">
        <v>14</v>
      </c>
      <c r="G38" s="1" t="s">
        <v>14</v>
      </c>
      <c r="H38" s="1" t="s">
        <v>14</v>
      </c>
      <c r="I38" s="1" t="s">
        <v>14</v>
      </c>
      <c r="J38" s="1" t="s">
        <v>14</v>
      </c>
      <c r="K38" s="1" t="s">
        <v>14</v>
      </c>
      <c r="L38" s="1" t="s">
        <v>14</v>
      </c>
      <c r="M38" s="1" t="s">
        <v>14</v>
      </c>
    </row>
    <row r="39" spans="1:13" x14ac:dyDescent="0.3">
      <c r="A39" s="1" t="s">
        <v>52</v>
      </c>
      <c r="B39" s="2">
        <v>0</v>
      </c>
      <c r="C39" s="1" t="s">
        <v>16</v>
      </c>
      <c r="D39" s="1" t="s">
        <v>16</v>
      </c>
      <c r="E39" s="1" t="s">
        <v>16</v>
      </c>
      <c r="F39" s="1" t="s">
        <v>16</v>
      </c>
      <c r="G39" s="1" t="s">
        <v>16</v>
      </c>
      <c r="H39" s="1" t="s">
        <v>16</v>
      </c>
      <c r="I39" s="1" t="s">
        <v>16</v>
      </c>
      <c r="J39" s="1" t="s">
        <v>16</v>
      </c>
      <c r="K39" s="1" t="s">
        <v>16</v>
      </c>
      <c r="L39" s="1" t="s">
        <v>16</v>
      </c>
      <c r="M39" s="1" t="s">
        <v>16</v>
      </c>
    </row>
    <row r="40" spans="1:13" x14ac:dyDescent="0.3">
      <c r="A40" s="1" t="s">
        <v>53</v>
      </c>
      <c r="B40" s="2">
        <v>0</v>
      </c>
      <c r="C40" s="1" t="s">
        <v>14</v>
      </c>
      <c r="D40" s="1" t="s">
        <v>14</v>
      </c>
      <c r="E40" s="1" t="s">
        <v>14</v>
      </c>
      <c r="F40" s="1" t="s">
        <v>14</v>
      </c>
      <c r="G40" s="1" t="s">
        <v>14</v>
      </c>
      <c r="H40" s="1" t="s">
        <v>14</v>
      </c>
      <c r="I40" s="1" t="s">
        <v>14</v>
      </c>
      <c r="J40" s="1" t="s">
        <v>14</v>
      </c>
      <c r="K40" s="1" t="s">
        <v>14</v>
      </c>
      <c r="L40" s="1" t="s">
        <v>14</v>
      </c>
      <c r="M40" s="1" t="s">
        <v>14</v>
      </c>
    </row>
    <row r="41" spans="1:13" x14ac:dyDescent="0.3">
      <c r="A41" s="1" t="s">
        <v>54</v>
      </c>
      <c r="B41" s="2">
        <v>0</v>
      </c>
      <c r="C41" s="1" t="s">
        <v>14</v>
      </c>
      <c r="D41" s="1" t="s">
        <v>14</v>
      </c>
      <c r="E41" s="1" t="s">
        <v>14</v>
      </c>
      <c r="F41" s="1" t="s">
        <v>14</v>
      </c>
      <c r="G41" s="1" t="s">
        <v>14</v>
      </c>
      <c r="H41" s="1" t="s">
        <v>14</v>
      </c>
      <c r="I41" s="1" t="s">
        <v>14</v>
      </c>
      <c r="J41" s="1" t="s">
        <v>14</v>
      </c>
      <c r="K41" s="1" t="s">
        <v>14</v>
      </c>
      <c r="L41" s="1" t="s">
        <v>14</v>
      </c>
      <c r="M41" s="1" t="s">
        <v>14</v>
      </c>
    </row>
    <row r="42" spans="1:13" x14ac:dyDescent="0.3">
      <c r="A42" s="1" t="s">
        <v>55</v>
      </c>
      <c r="B42" s="2">
        <v>0</v>
      </c>
      <c r="C42" s="1" t="s">
        <v>14</v>
      </c>
      <c r="D42" s="1" t="s">
        <v>14</v>
      </c>
      <c r="E42" s="1" t="s">
        <v>14</v>
      </c>
      <c r="F42" s="1" t="s">
        <v>14</v>
      </c>
      <c r="G42" s="1" t="s">
        <v>14</v>
      </c>
      <c r="H42" s="1" t="s">
        <v>14</v>
      </c>
      <c r="I42" s="1" t="s">
        <v>14</v>
      </c>
      <c r="J42" s="1" t="s">
        <v>14</v>
      </c>
      <c r="K42" s="1" t="s">
        <v>14</v>
      </c>
      <c r="L42" s="1" t="s">
        <v>14</v>
      </c>
      <c r="M42" s="1" t="s">
        <v>14</v>
      </c>
    </row>
    <row r="43" spans="1:13" x14ac:dyDescent="0.3">
      <c r="A43" s="1" t="s">
        <v>56</v>
      </c>
      <c r="B43" s="2">
        <v>0</v>
      </c>
      <c r="C43" s="1" t="s">
        <v>14</v>
      </c>
      <c r="D43" s="1" t="s">
        <v>14</v>
      </c>
      <c r="E43" s="1" t="s">
        <v>14</v>
      </c>
      <c r="F43" s="1" t="s">
        <v>14</v>
      </c>
      <c r="G43" s="1" t="s">
        <v>14</v>
      </c>
      <c r="H43" s="1" t="s">
        <v>14</v>
      </c>
      <c r="I43" s="1" t="s">
        <v>14</v>
      </c>
      <c r="J43" s="1" t="s">
        <v>14</v>
      </c>
      <c r="K43" s="1" t="s">
        <v>14</v>
      </c>
      <c r="L43" s="1" t="s">
        <v>14</v>
      </c>
      <c r="M43" s="1" t="s">
        <v>14</v>
      </c>
    </row>
    <row r="44" spans="1:13" x14ac:dyDescent="0.3">
      <c r="A44" s="1" t="s">
        <v>57</v>
      </c>
      <c r="B44" s="2">
        <v>0</v>
      </c>
      <c r="C44" s="1" t="s">
        <v>14</v>
      </c>
      <c r="D44" s="1" t="s">
        <v>14</v>
      </c>
      <c r="E44" s="1" t="s">
        <v>14</v>
      </c>
      <c r="F44" s="1" t="s">
        <v>14</v>
      </c>
      <c r="G44" s="1" t="s">
        <v>14</v>
      </c>
      <c r="H44" s="1" t="s">
        <v>14</v>
      </c>
      <c r="I44" s="1" t="s">
        <v>14</v>
      </c>
      <c r="J44" s="1" t="s">
        <v>14</v>
      </c>
      <c r="K44" s="1" t="s">
        <v>14</v>
      </c>
      <c r="L44" s="1" t="s">
        <v>14</v>
      </c>
      <c r="M44" s="1" t="s">
        <v>14</v>
      </c>
    </row>
    <row r="45" spans="1:13" x14ac:dyDescent="0.3">
      <c r="A45" s="1" t="s">
        <v>58</v>
      </c>
      <c r="B45" s="2">
        <v>0</v>
      </c>
      <c r="C45" s="1" t="s">
        <v>14</v>
      </c>
      <c r="D45" s="1" t="s">
        <v>14</v>
      </c>
      <c r="E45" s="1" t="s">
        <v>14</v>
      </c>
      <c r="F45" s="1" t="s">
        <v>14</v>
      </c>
      <c r="G45" s="1" t="s">
        <v>14</v>
      </c>
      <c r="H45" s="1" t="s">
        <v>14</v>
      </c>
      <c r="I45" s="1" t="s">
        <v>14</v>
      </c>
      <c r="J45" s="1" t="s">
        <v>14</v>
      </c>
      <c r="K45" s="1" t="s">
        <v>14</v>
      </c>
      <c r="L45" s="1" t="s">
        <v>14</v>
      </c>
      <c r="M45" s="1" t="s">
        <v>14</v>
      </c>
    </row>
    <row r="46" spans="1:13" x14ac:dyDescent="0.3">
      <c r="A46" s="1" t="s">
        <v>59</v>
      </c>
      <c r="B46" s="2">
        <v>0</v>
      </c>
      <c r="C46" s="1" t="s">
        <v>14</v>
      </c>
      <c r="D46" s="1" t="s">
        <v>14</v>
      </c>
      <c r="E46" s="1" t="s">
        <v>14</v>
      </c>
      <c r="F46" s="1" t="s">
        <v>14</v>
      </c>
      <c r="G46" s="1" t="s">
        <v>14</v>
      </c>
      <c r="H46" s="1" t="s">
        <v>14</v>
      </c>
      <c r="I46" s="1" t="s">
        <v>14</v>
      </c>
      <c r="J46" s="1" t="s">
        <v>14</v>
      </c>
      <c r="K46" s="1" t="s">
        <v>14</v>
      </c>
      <c r="L46" s="1" t="s">
        <v>14</v>
      </c>
      <c r="M46" s="1" t="s">
        <v>14</v>
      </c>
    </row>
    <row r="47" spans="1:13" x14ac:dyDescent="0.3">
      <c r="A47" s="1" t="s">
        <v>60</v>
      </c>
      <c r="B47" s="2">
        <v>0</v>
      </c>
      <c r="C47" s="1" t="s">
        <v>14</v>
      </c>
      <c r="D47" s="1" t="s">
        <v>14</v>
      </c>
      <c r="E47" s="1" t="s">
        <v>14</v>
      </c>
      <c r="F47" s="1" t="s">
        <v>14</v>
      </c>
      <c r="G47" s="1" t="s">
        <v>14</v>
      </c>
      <c r="H47" s="1" t="s">
        <v>14</v>
      </c>
      <c r="I47" s="1" t="s">
        <v>14</v>
      </c>
      <c r="J47" s="1" t="s">
        <v>14</v>
      </c>
      <c r="K47" s="1" t="s">
        <v>14</v>
      </c>
      <c r="L47" s="1" t="s">
        <v>14</v>
      </c>
      <c r="M47" s="1" t="s">
        <v>14</v>
      </c>
    </row>
    <row r="48" spans="1:13" x14ac:dyDescent="0.3">
      <c r="A48" s="1" t="s">
        <v>61</v>
      </c>
      <c r="B48" s="2">
        <v>0</v>
      </c>
      <c r="C48" s="1" t="s">
        <v>14</v>
      </c>
      <c r="D48" s="1" t="s">
        <v>14</v>
      </c>
      <c r="E48" s="1" t="s">
        <v>14</v>
      </c>
      <c r="F48" s="1" t="s">
        <v>14</v>
      </c>
      <c r="G48" s="1" t="s">
        <v>14</v>
      </c>
      <c r="H48" s="1" t="s">
        <v>14</v>
      </c>
      <c r="I48" s="1" t="s">
        <v>14</v>
      </c>
      <c r="J48" s="1" t="s">
        <v>14</v>
      </c>
      <c r="K48" s="1" t="s">
        <v>14</v>
      </c>
      <c r="L48" s="1" t="s">
        <v>14</v>
      </c>
      <c r="M48" s="1" t="s">
        <v>14</v>
      </c>
    </row>
    <row r="49" spans="1:13" x14ac:dyDescent="0.3">
      <c r="A49" s="1" t="s">
        <v>62</v>
      </c>
      <c r="B49" s="2">
        <v>0</v>
      </c>
      <c r="C49" s="1" t="s">
        <v>14</v>
      </c>
      <c r="D49" s="1" t="s">
        <v>14</v>
      </c>
      <c r="E49" s="1" t="s">
        <v>14</v>
      </c>
      <c r="F49" s="1" t="s">
        <v>14</v>
      </c>
      <c r="G49" s="1" t="s">
        <v>14</v>
      </c>
      <c r="H49" s="1" t="s">
        <v>14</v>
      </c>
      <c r="I49" s="1" t="s">
        <v>14</v>
      </c>
      <c r="J49" s="1" t="s">
        <v>14</v>
      </c>
      <c r="K49" s="1" t="s">
        <v>14</v>
      </c>
      <c r="L49" s="1" t="s">
        <v>14</v>
      </c>
      <c r="M49" s="1" t="s">
        <v>14</v>
      </c>
    </row>
    <row r="50" spans="1:13" x14ac:dyDescent="0.3">
      <c r="A50" s="1" t="s">
        <v>63</v>
      </c>
      <c r="B50" s="2">
        <v>0</v>
      </c>
      <c r="C50" s="1" t="s">
        <v>14</v>
      </c>
      <c r="D50" s="1" t="s">
        <v>14</v>
      </c>
      <c r="E50" s="1" t="s">
        <v>14</v>
      </c>
      <c r="F50" s="1" t="s">
        <v>14</v>
      </c>
      <c r="G50" s="1" t="s">
        <v>14</v>
      </c>
      <c r="H50" s="1" t="s">
        <v>14</v>
      </c>
      <c r="I50" s="1" t="s">
        <v>14</v>
      </c>
      <c r="J50" s="1" t="s">
        <v>14</v>
      </c>
      <c r="K50" s="1" t="s">
        <v>14</v>
      </c>
      <c r="L50" s="1" t="s">
        <v>14</v>
      </c>
      <c r="M50" s="1" t="s">
        <v>14</v>
      </c>
    </row>
    <row r="51" spans="1:13" x14ac:dyDescent="0.3">
      <c r="A51" s="1" t="s">
        <v>64</v>
      </c>
      <c r="B51" s="2">
        <v>0</v>
      </c>
      <c r="C51" s="1" t="s">
        <v>14</v>
      </c>
      <c r="D51" s="1" t="s">
        <v>14</v>
      </c>
      <c r="E51" s="1" t="s">
        <v>14</v>
      </c>
      <c r="F51" s="1" t="s">
        <v>14</v>
      </c>
      <c r="G51" s="1" t="s">
        <v>14</v>
      </c>
      <c r="H51" s="1" t="s">
        <v>14</v>
      </c>
      <c r="I51" s="1" t="s">
        <v>14</v>
      </c>
      <c r="J51" s="1" t="s">
        <v>14</v>
      </c>
      <c r="K51" s="1" t="s">
        <v>14</v>
      </c>
      <c r="L51" s="1" t="s">
        <v>14</v>
      </c>
      <c r="M51" s="1" t="s">
        <v>14</v>
      </c>
    </row>
    <row r="52" spans="1:13" x14ac:dyDescent="0.3">
      <c r="A52" s="1" t="s">
        <v>65</v>
      </c>
      <c r="B52" s="2">
        <v>0</v>
      </c>
      <c r="C52" s="1" t="s">
        <v>16</v>
      </c>
      <c r="D52" s="1" t="s">
        <v>16</v>
      </c>
      <c r="E52" s="1" t="s">
        <v>16</v>
      </c>
      <c r="F52" s="1" t="s">
        <v>16</v>
      </c>
      <c r="G52" s="1" t="s">
        <v>16</v>
      </c>
      <c r="H52" s="1" t="s">
        <v>16</v>
      </c>
      <c r="I52" s="1" t="s">
        <v>16</v>
      </c>
      <c r="J52" s="1" t="s">
        <v>16</v>
      </c>
      <c r="K52" s="1" t="s">
        <v>16</v>
      </c>
      <c r="L52" s="1" t="s">
        <v>16</v>
      </c>
      <c r="M52" s="1" t="s">
        <v>16</v>
      </c>
    </row>
    <row r="53" spans="1:13" x14ac:dyDescent="0.3">
      <c r="A53" s="1" t="s">
        <v>66</v>
      </c>
      <c r="B53" s="2">
        <v>0</v>
      </c>
      <c r="C53" s="1" t="s">
        <v>16</v>
      </c>
      <c r="D53" s="1" t="s">
        <v>16</v>
      </c>
      <c r="E53" s="1" t="s">
        <v>16</v>
      </c>
      <c r="F53" s="1" t="s">
        <v>16</v>
      </c>
      <c r="G53" s="1" t="s">
        <v>16</v>
      </c>
      <c r="H53" s="1" t="s">
        <v>16</v>
      </c>
      <c r="I53" s="1" t="s">
        <v>16</v>
      </c>
      <c r="J53" s="1" t="s">
        <v>16</v>
      </c>
      <c r="K53" s="1" t="s">
        <v>16</v>
      </c>
      <c r="L53" s="1" t="s">
        <v>16</v>
      </c>
      <c r="M53" s="1" t="s">
        <v>16</v>
      </c>
    </row>
    <row r="54" spans="1:13" x14ac:dyDescent="0.3">
      <c r="A54" s="1" t="s">
        <v>67</v>
      </c>
      <c r="B54" s="2">
        <v>0</v>
      </c>
      <c r="C54" s="1" t="s">
        <v>14</v>
      </c>
      <c r="D54" s="1" t="s">
        <v>14</v>
      </c>
      <c r="E54" s="1" t="s">
        <v>14</v>
      </c>
      <c r="F54" s="1" t="s">
        <v>14</v>
      </c>
      <c r="G54" s="1" t="s">
        <v>14</v>
      </c>
      <c r="H54" s="1" t="s">
        <v>14</v>
      </c>
      <c r="I54" s="1" t="s">
        <v>14</v>
      </c>
      <c r="J54" s="1" t="s">
        <v>14</v>
      </c>
      <c r="K54" s="1" t="s">
        <v>14</v>
      </c>
      <c r="L54" s="1" t="s">
        <v>14</v>
      </c>
      <c r="M54" s="1" t="s">
        <v>14</v>
      </c>
    </row>
    <row r="55" spans="1:13" x14ac:dyDescent="0.3">
      <c r="A55" s="1" t="s">
        <v>68</v>
      </c>
      <c r="B55" s="2">
        <v>0</v>
      </c>
      <c r="C55" s="1" t="s">
        <v>14</v>
      </c>
      <c r="D55" s="1" t="s">
        <v>14</v>
      </c>
      <c r="E55" s="1" t="s">
        <v>14</v>
      </c>
      <c r="F55" s="1" t="s">
        <v>14</v>
      </c>
      <c r="G55" s="1" t="s">
        <v>14</v>
      </c>
      <c r="H55" s="1" t="s">
        <v>14</v>
      </c>
      <c r="I55" s="1" t="s">
        <v>14</v>
      </c>
      <c r="J55" s="1" t="s">
        <v>14</v>
      </c>
      <c r="K55" s="1" t="s">
        <v>14</v>
      </c>
      <c r="L55" s="1" t="s">
        <v>14</v>
      </c>
      <c r="M55" s="1" t="s">
        <v>14</v>
      </c>
    </row>
    <row r="56" spans="1:13" x14ac:dyDescent="0.3">
      <c r="A56" s="1" t="s">
        <v>69</v>
      </c>
      <c r="B56" s="2">
        <v>0</v>
      </c>
      <c r="C56" s="1" t="s">
        <v>14</v>
      </c>
      <c r="D56" s="1" t="s">
        <v>14</v>
      </c>
      <c r="E56" s="1" t="s">
        <v>14</v>
      </c>
      <c r="F56" s="1" t="s">
        <v>14</v>
      </c>
      <c r="G56" s="1" t="s">
        <v>14</v>
      </c>
      <c r="H56" s="1" t="s">
        <v>14</v>
      </c>
      <c r="I56" s="1" t="s">
        <v>14</v>
      </c>
      <c r="J56" s="1" t="s">
        <v>14</v>
      </c>
      <c r="K56" s="1" t="s">
        <v>14</v>
      </c>
      <c r="L56" s="1" t="s">
        <v>14</v>
      </c>
      <c r="M56" s="1" t="s">
        <v>14</v>
      </c>
    </row>
    <row r="57" spans="1:13" x14ac:dyDescent="0.3">
      <c r="A57" s="1" t="s">
        <v>70</v>
      </c>
      <c r="B57" s="2">
        <v>0</v>
      </c>
      <c r="C57" s="1" t="s">
        <v>14</v>
      </c>
      <c r="D57" s="1" t="s">
        <v>14</v>
      </c>
      <c r="E57" s="1" t="s">
        <v>14</v>
      </c>
      <c r="F57" s="1" t="s">
        <v>14</v>
      </c>
      <c r="G57" s="1" t="s">
        <v>14</v>
      </c>
      <c r="H57" s="1" t="s">
        <v>14</v>
      </c>
      <c r="I57" s="1" t="s">
        <v>14</v>
      </c>
      <c r="J57" s="1" t="s">
        <v>14</v>
      </c>
      <c r="K57" s="1" t="s">
        <v>14</v>
      </c>
      <c r="L57" s="1" t="s">
        <v>14</v>
      </c>
      <c r="M57" s="1" t="s">
        <v>14</v>
      </c>
    </row>
    <row r="58" spans="1:13" x14ac:dyDescent="0.3">
      <c r="A58" s="1" t="s">
        <v>71</v>
      </c>
      <c r="B58" s="2">
        <v>0</v>
      </c>
      <c r="C58" s="1" t="s">
        <v>14</v>
      </c>
      <c r="D58" s="1" t="s">
        <v>14</v>
      </c>
      <c r="E58" s="1" t="s">
        <v>14</v>
      </c>
      <c r="F58" s="1" t="s">
        <v>14</v>
      </c>
      <c r="G58" s="1" t="s">
        <v>14</v>
      </c>
      <c r="H58" s="1" t="s">
        <v>14</v>
      </c>
      <c r="I58" s="1" t="s">
        <v>14</v>
      </c>
      <c r="J58" s="1" t="s">
        <v>14</v>
      </c>
      <c r="K58" s="1" t="s">
        <v>14</v>
      </c>
      <c r="L58" s="1" t="s">
        <v>14</v>
      </c>
      <c r="M58" s="1" t="s">
        <v>14</v>
      </c>
    </row>
    <row r="59" spans="1:13" x14ac:dyDescent="0.3">
      <c r="A59" s="1" t="s">
        <v>72</v>
      </c>
      <c r="B59" s="2">
        <v>0</v>
      </c>
      <c r="C59" s="1" t="s">
        <v>14</v>
      </c>
      <c r="D59" s="1" t="s">
        <v>14</v>
      </c>
      <c r="E59" s="1" t="s">
        <v>14</v>
      </c>
      <c r="F59" s="1" t="s">
        <v>14</v>
      </c>
      <c r="G59" s="1" t="s">
        <v>14</v>
      </c>
      <c r="H59" s="1" t="s">
        <v>14</v>
      </c>
      <c r="I59" s="1" t="s">
        <v>14</v>
      </c>
      <c r="J59" s="1" t="s">
        <v>14</v>
      </c>
      <c r="K59" s="1" t="s">
        <v>14</v>
      </c>
      <c r="L59" s="1" t="s">
        <v>14</v>
      </c>
      <c r="M59" s="1" t="s">
        <v>14</v>
      </c>
    </row>
    <row r="60" spans="1:13" x14ac:dyDescent="0.3">
      <c r="A60" s="1" t="s">
        <v>73</v>
      </c>
      <c r="B60" s="2">
        <v>0</v>
      </c>
      <c r="C60" s="1" t="s">
        <v>14</v>
      </c>
      <c r="D60" s="1" t="s">
        <v>14</v>
      </c>
      <c r="E60" s="1" t="s">
        <v>14</v>
      </c>
      <c r="F60" s="1" t="s">
        <v>14</v>
      </c>
      <c r="G60" s="1" t="s">
        <v>14</v>
      </c>
      <c r="H60" s="1" t="s">
        <v>14</v>
      </c>
      <c r="I60" s="1" t="s">
        <v>14</v>
      </c>
      <c r="J60" s="1" t="s">
        <v>14</v>
      </c>
      <c r="K60" s="1" t="s">
        <v>14</v>
      </c>
      <c r="L60" s="1" t="s">
        <v>14</v>
      </c>
      <c r="M60" s="1" t="s">
        <v>14</v>
      </c>
    </row>
    <row r="61" spans="1:13" x14ac:dyDescent="0.3">
      <c r="A61" s="1" t="s">
        <v>74</v>
      </c>
      <c r="B61" s="2">
        <v>0</v>
      </c>
      <c r="C61" s="1" t="s">
        <v>75</v>
      </c>
      <c r="D61" s="1" t="s">
        <v>75</v>
      </c>
      <c r="E61" s="1" t="s">
        <v>75</v>
      </c>
      <c r="F61" s="1" t="s">
        <v>75</v>
      </c>
      <c r="G61" s="1" t="s">
        <v>75</v>
      </c>
      <c r="H61" s="1" t="s">
        <v>75</v>
      </c>
      <c r="I61" s="1" t="s">
        <v>75</v>
      </c>
      <c r="J61" s="1" t="s">
        <v>75</v>
      </c>
      <c r="K61" s="1" t="s">
        <v>75</v>
      </c>
      <c r="L61" s="1" t="s">
        <v>75</v>
      </c>
      <c r="M61" s="1" t="s">
        <v>75</v>
      </c>
    </row>
    <row r="62" spans="1:13" x14ac:dyDescent="0.3">
      <c r="A62" s="1" t="s">
        <v>76</v>
      </c>
      <c r="B62" s="2">
        <v>0</v>
      </c>
      <c r="C62" s="1" t="s">
        <v>14</v>
      </c>
      <c r="D62" s="1" t="s">
        <v>14</v>
      </c>
      <c r="E62" s="1" t="s">
        <v>14</v>
      </c>
      <c r="F62" s="1" t="s">
        <v>14</v>
      </c>
      <c r="G62" s="1" t="s">
        <v>14</v>
      </c>
      <c r="H62" s="1" t="s">
        <v>14</v>
      </c>
      <c r="I62" s="1" t="s">
        <v>14</v>
      </c>
      <c r="J62" s="1" t="s">
        <v>14</v>
      </c>
      <c r="K62" s="1" t="s">
        <v>14</v>
      </c>
      <c r="L62" s="1" t="s">
        <v>14</v>
      </c>
      <c r="M62" s="1" t="s">
        <v>14</v>
      </c>
    </row>
    <row r="63" spans="1:13" x14ac:dyDescent="0.3">
      <c r="A63" s="1" t="s">
        <v>77</v>
      </c>
      <c r="B63" s="2">
        <v>0</v>
      </c>
      <c r="C63" s="1" t="s">
        <v>75</v>
      </c>
      <c r="D63" s="1" t="s">
        <v>75</v>
      </c>
      <c r="E63" s="1" t="s">
        <v>75</v>
      </c>
      <c r="F63" s="1" t="s">
        <v>75</v>
      </c>
      <c r="G63" s="1" t="s">
        <v>75</v>
      </c>
      <c r="H63" s="1" t="s">
        <v>75</v>
      </c>
      <c r="I63" s="1" t="s">
        <v>75</v>
      </c>
      <c r="J63" s="1" t="s">
        <v>75</v>
      </c>
      <c r="K63" s="1" t="s">
        <v>75</v>
      </c>
      <c r="L63" s="1" t="s">
        <v>75</v>
      </c>
      <c r="M63" s="1" t="s">
        <v>75</v>
      </c>
    </row>
    <row r="64" spans="1:13" x14ac:dyDescent="0.3">
      <c r="A64" s="1" t="s">
        <v>78</v>
      </c>
      <c r="B64" s="2">
        <v>0</v>
      </c>
      <c r="C64" s="1" t="s">
        <v>14</v>
      </c>
      <c r="D64" s="1" t="s">
        <v>14</v>
      </c>
      <c r="E64" s="1" t="s">
        <v>14</v>
      </c>
      <c r="F64" s="1" t="s">
        <v>14</v>
      </c>
      <c r="G64" s="1" t="s">
        <v>14</v>
      </c>
      <c r="H64" s="1" t="s">
        <v>14</v>
      </c>
      <c r="I64" s="1" t="s">
        <v>14</v>
      </c>
      <c r="J64" s="1" t="s">
        <v>14</v>
      </c>
      <c r="K64" s="1" t="s">
        <v>14</v>
      </c>
      <c r="L64" s="1" t="s">
        <v>14</v>
      </c>
      <c r="M64" s="1" t="s">
        <v>14</v>
      </c>
    </row>
    <row r="65" spans="1:13" x14ac:dyDescent="0.3">
      <c r="A65" s="1" t="s">
        <v>79</v>
      </c>
      <c r="B65" s="2">
        <v>0</v>
      </c>
      <c r="C65" s="1" t="s">
        <v>14</v>
      </c>
      <c r="D65" s="1" t="s">
        <v>14</v>
      </c>
      <c r="E65" s="1" t="s">
        <v>14</v>
      </c>
      <c r="F65" s="1" t="s">
        <v>14</v>
      </c>
      <c r="G65" s="1" t="s">
        <v>14</v>
      </c>
      <c r="H65" s="1" t="s">
        <v>14</v>
      </c>
      <c r="I65" s="1" t="s">
        <v>14</v>
      </c>
      <c r="J65" s="1" t="s">
        <v>14</v>
      </c>
      <c r="K65" s="1" t="s">
        <v>14</v>
      </c>
      <c r="L65" s="1" t="s">
        <v>14</v>
      </c>
      <c r="M65" s="1" t="s">
        <v>14</v>
      </c>
    </row>
    <row r="66" spans="1:13" x14ac:dyDescent="0.3">
      <c r="A66" s="1" t="s">
        <v>80</v>
      </c>
      <c r="B66" s="2">
        <v>0</v>
      </c>
      <c r="C66" s="1" t="s">
        <v>16</v>
      </c>
      <c r="D66" s="1" t="s">
        <v>16</v>
      </c>
      <c r="E66" s="1" t="s">
        <v>16</v>
      </c>
      <c r="F66" s="1" t="s">
        <v>16</v>
      </c>
      <c r="G66" s="1" t="s">
        <v>16</v>
      </c>
      <c r="H66" s="1" t="s">
        <v>16</v>
      </c>
      <c r="I66" s="1" t="s">
        <v>16</v>
      </c>
      <c r="J66" s="1" t="s">
        <v>16</v>
      </c>
      <c r="K66" s="1" t="s">
        <v>16</v>
      </c>
      <c r="L66" s="1" t="s">
        <v>16</v>
      </c>
      <c r="M66" s="1" t="s">
        <v>16</v>
      </c>
    </row>
    <row r="67" spans="1:13" x14ac:dyDescent="0.3">
      <c r="A67" s="1" t="s">
        <v>81</v>
      </c>
      <c r="B67" s="2">
        <v>0</v>
      </c>
      <c r="C67" s="1" t="s">
        <v>14</v>
      </c>
      <c r="D67" s="1" t="s">
        <v>14</v>
      </c>
      <c r="E67" s="1" t="s">
        <v>14</v>
      </c>
      <c r="F67" s="1" t="s">
        <v>14</v>
      </c>
      <c r="G67" s="1" t="s">
        <v>14</v>
      </c>
      <c r="H67" s="1" t="s">
        <v>14</v>
      </c>
      <c r="I67" s="1" t="s">
        <v>14</v>
      </c>
      <c r="J67" s="1" t="s">
        <v>14</v>
      </c>
      <c r="K67" s="1" t="s">
        <v>14</v>
      </c>
      <c r="L67" s="1" t="s">
        <v>14</v>
      </c>
      <c r="M67" s="1" t="s">
        <v>14</v>
      </c>
    </row>
    <row r="68" spans="1:13" x14ac:dyDescent="0.3">
      <c r="A68" s="1" t="s">
        <v>82</v>
      </c>
      <c r="B68" s="2">
        <v>0</v>
      </c>
      <c r="C68" s="1" t="s">
        <v>14</v>
      </c>
      <c r="D68" s="1" t="s">
        <v>14</v>
      </c>
      <c r="E68" s="1" t="s">
        <v>14</v>
      </c>
      <c r="F68" s="1" t="s">
        <v>14</v>
      </c>
      <c r="G68" s="1" t="s">
        <v>14</v>
      </c>
      <c r="H68" s="1" t="s">
        <v>14</v>
      </c>
      <c r="I68" s="1" t="s">
        <v>14</v>
      </c>
      <c r="J68" s="1" t="s">
        <v>14</v>
      </c>
      <c r="K68" s="2">
        <v>0</v>
      </c>
      <c r="L68" s="2">
        <v>0</v>
      </c>
      <c r="M68" s="2">
        <v>0</v>
      </c>
    </row>
    <row r="69" spans="1:13" x14ac:dyDescent="0.3">
      <c r="A69" s="1" t="s">
        <v>83</v>
      </c>
      <c r="B69" s="2">
        <v>0</v>
      </c>
      <c r="C69" s="1" t="s">
        <v>75</v>
      </c>
      <c r="D69" s="1" t="s">
        <v>75</v>
      </c>
      <c r="E69" s="1" t="s">
        <v>75</v>
      </c>
      <c r="F69" s="1" t="s">
        <v>75</v>
      </c>
      <c r="G69" s="1" t="s">
        <v>75</v>
      </c>
      <c r="H69" s="1" t="s">
        <v>75</v>
      </c>
      <c r="I69" s="1" t="s">
        <v>75</v>
      </c>
      <c r="J69" s="1" t="s">
        <v>75</v>
      </c>
      <c r="K69" s="1" t="s">
        <v>75</v>
      </c>
      <c r="L69" s="1" t="s">
        <v>75</v>
      </c>
      <c r="M69" s="1" t="s">
        <v>75</v>
      </c>
    </row>
    <row r="70" spans="1:13" x14ac:dyDescent="0.3">
      <c r="A70" s="1" t="s">
        <v>84</v>
      </c>
      <c r="B70" s="2">
        <v>0</v>
      </c>
      <c r="C70" s="1" t="s">
        <v>14</v>
      </c>
      <c r="D70" s="1" t="s">
        <v>14</v>
      </c>
      <c r="E70" s="1" t="s">
        <v>14</v>
      </c>
      <c r="F70" s="1" t="s">
        <v>14</v>
      </c>
      <c r="G70" s="1" t="s">
        <v>14</v>
      </c>
      <c r="H70" s="1" t="s">
        <v>14</v>
      </c>
      <c r="I70" s="1" t="s">
        <v>14</v>
      </c>
      <c r="J70" s="1" t="s">
        <v>14</v>
      </c>
      <c r="K70" s="1" t="s">
        <v>14</v>
      </c>
      <c r="L70" s="1" t="s">
        <v>14</v>
      </c>
      <c r="M70" s="1" t="s">
        <v>14</v>
      </c>
    </row>
    <row r="71" spans="1:13" x14ac:dyDescent="0.3">
      <c r="A71" s="1" t="s">
        <v>85</v>
      </c>
      <c r="B71" s="1" t="s">
        <v>75</v>
      </c>
      <c r="C71" s="2">
        <v>0</v>
      </c>
      <c r="D71" s="2">
        <v>0</v>
      </c>
      <c r="E71" s="2">
        <v>0</v>
      </c>
      <c r="F71" s="2">
        <v>0</v>
      </c>
      <c r="G71" s="2">
        <v>0</v>
      </c>
      <c r="H71" s="2">
        <v>0</v>
      </c>
      <c r="I71" s="2">
        <v>0</v>
      </c>
      <c r="J71" s="2">
        <v>0</v>
      </c>
      <c r="K71" s="2">
        <v>0</v>
      </c>
      <c r="L71" s="2">
        <v>0</v>
      </c>
      <c r="M71" s="2">
        <v>0</v>
      </c>
    </row>
    <row r="72" spans="1:13" x14ac:dyDescent="0.3">
      <c r="A72" s="1" t="s">
        <v>86</v>
      </c>
      <c r="B72" s="2">
        <v>0</v>
      </c>
      <c r="C72" s="1" t="s">
        <v>14</v>
      </c>
      <c r="D72" s="1" t="s">
        <v>14</v>
      </c>
      <c r="E72" s="1" t="s">
        <v>14</v>
      </c>
      <c r="F72" s="1" t="s">
        <v>14</v>
      </c>
      <c r="G72" s="1" t="s">
        <v>14</v>
      </c>
      <c r="H72" s="1" t="s">
        <v>14</v>
      </c>
      <c r="I72" s="1" t="s">
        <v>14</v>
      </c>
      <c r="J72" s="1" t="s">
        <v>14</v>
      </c>
      <c r="K72" s="1" t="s">
        <v>14</v>
      </c>
      <c r="L72" s="1" t="s">
        <v>14</v>
      </c>
      <c r="M72" s="1" t="s">
        <v>14</v>
      </c>
    </row>
    <row r="73" spans="1:13" x14ac:dyDescent="0.3">
      <c r="A73" s="1" t="s">
        <v>87</v>
      </c>
      <c r="B73" s="2">
        <v>0</v>
      </c>
      <c r="C73" s="1" t="s">
        <v>14</v>
      </c>
      <c r="D73" s="1" t="s">
        <v>14</v>
      </c>
      <c r="E73" s="1" t="s">
        <v>14</v>
      </c>
      <c r="F73" s="1" t="s">
        <v>14</v>
      </c>
      <c r="G73" s="1" t="s">
        <v>14</v>
      </c>
      <c r="H73" s="1" t="s">
        <v>14</v>
      </c>
      <c r="I73" s="1" t="s">
        <v>14</v>
      </c>
      <c r="J73" s="1" t="s">
        <v>14</v>
      </c>
      <c r="K73" s="1" t="s">
        <v>14</v>
      </c>
      <c r="L73" s="1" t="s">
        <v>14</v>
      </c>
      <c r="M73" s="1" t="s">
        <v>14</v>
      </c>
    </row>
    <row r="74" spans="1:13" x14ac:dyDescent="0.3">
      <c r="A74" s="1" t="s">
        <v>88</v>
      </c>
      <c r="B74" s="2">
        <v>0</v>
      </c>
      <c r="C74" s="1" t="s">
        <v>14</v>
      </c>
      <c r="D74" s="1" t="s">
        <v>14</v>
      </c>
      <c r="E74" s="1" t="s">
        <v>14</v>
      </c>
      <c r="F74" s="1" t="s">
        <v>14</v>
      </c>
      <c r="G74" s="1" t="s">
        <v>14</v>
      </c>
      <c r="H74" s="1" t="s">
        <v>14</v>
      </c>
      <c r="I74" s="1" t="s">
        <v>14</v>
      </c>
      <c r="J74" s="1" t="s">
        <v>14</v>
      </c>
      <c r="K74" s="1" t="s">
        <v>14</v>
      </c>
      <c r="L74" s="1" t="s">
        <v>14</v>
      </c>
      <c r="M74" s="1" t="s">
        <v>14</v>
      </c>
    </row>
    <row r="75" spans="1:13" x14ac:dyDescent="0.3">
      <c r="A75" s="1" t="s">
        <v>89</v>
      </c>
      <c r="B75" s="2">
        <v>0</v>
      </c>
      <c r="C75" s="1" t="s">
        <v>14</v>
      </c>
      <c r="D75" s="1" t="s">
        <v>14</v>
      </c>
      <c r="E75" s="1" t="s">
        <v>14</v>
      </c>
      <c r="F75" s="1" t="s">
        <v>14</v>
      </c>
      <c r="G75" s="1" t="s">
        <v>14</v>
      </c>
      <c r="H75" s="1" t="s">
        <v>14</v>
      </c>
      <c r="I75" s="1" t="s">
        <v>14</v>
      </c>
      <c r="J75" s="1" t="s">
        <v>14</v>
      </c>
      <c r="K75" s="1" t="s">
        <v>14</v>
      </c>
      <c r="L75" s="1" t="s">
        <v>14</v>
      </c>
      <c r="M75" s="1" t="s">
        <v>14</v>
      </c>
    </row>
    <row r="76" spans="1:13" x14ac:dyDescent="0.3">
      <c r="A76" s="1" t="s">
        <v>90</v>
      </c>
      <c r="B76" s="2">
        <v>0</v>
      </c>
      <c r="C76" s="1" t="s">
        <v>14</v>
      </c>
      <c r="D76" s="1" t="s">
        <v>14</v>
      </c>
      <c r="E76" s="1" t="s">
        <v>14</v>
      </c>
      <c r="F76" s="1" t="s">
        <v>14</v>
      </c>
      <c r="G76" s="1" t="s">
        <v>14</v>
      </c>
      <c r="H76" s="1" t="s">
        <v>14</v>
      </c>
      <c r="I76" s="1" t="s">
        <v>14</v>
      </c>
      <c r="J76" s="1" t="s">
        <v>14</v>
      </c>
      <c r="K76" s="1" t="s">
        <v>14</v>
      </c>
      <c r="L76" s="1" t="s">
        <v>14</v>
      </c>
      <c r="M76" s="1" t="s">
        <v>14</v>
      </c>
    </row>
    <row r="77" spans="1:13" x14ac:dyDescent="0.3">
      <c r="A77" s="1" t="s">
        <v>91</v>
      </c>
      <c r="B77" s="2">
        <v>0</v>
      </c>
      <c r="C77" s="1" t="s">
        <v>14</v>
      </c>
      <c r="D77" s="1" t="s">
        <v>14</v>
      </c>
      <c r="E77" s="1" t="s">
        <v>14</v>
      </c>
      <c r="F77" s="1" t="s">
        <v>14</v>
      </c>
      <c r="G77" s="1" t="s">
        <v>14</v>
      </c>
      <c r="H77" s="1" t="s">
        <v>14</v>
      </c>
      <c r="I77" s="1" t="s">
        <v>14</v>
      </c>
      <c r="J77" s="1" t="s">
        <v>14</v>
      </c>
      <c r="K77" s="1" t="s">
        <v>14</v>
      </c>
      <c r="L77" s="1" t="s">
        <v>14</v>
      </c>
      <c r="M77" s="1" t="s">
        <v>14</v>
      </c>
    </row>
    <row r="78" spans="1:13" x14ac:dyDescent="0.3">
      <c r="A78" s="1" t="s">
        <v>92</v>
      </c>
      <c r="B78" s="2">
        <v>0</v>
      </c>
      <c r="C78" s="1" t="s">
        <v>14</v>
      </c>
      <c r="D78" s="1" t="s">
        <v>14</v>
      </c>
      <c r="E78" s="1" t="s">
        <v>14</v>
      </c>
      <c r="F78" s="1" t="s">
        <v>14</v>
      </c>
      <c r="G78" s="1" t="s">
        <v>14</v>
      </c>
      <c r="H78" s="1" t="s">
        <v>14</v>
      </c>
      <c r="I78" s="1" t="s">
        <v>14</v>
      </c>
      <c r="J78" s="1" t="s">
        <v>14</v>
      </c>
      <c r="K78" s="1" t="s">
        <v>14</v>
      </c>
      <c r="L78" s="1" t="s">
        <v>14</v>
      </c>
      <c r="M78" s="1" t="s">
        <v>14</v>
      </c>
    </row>
    <row r="79" spans="1:13" x14ac:dyDescent="0.3">
      <c r="A79" s="1" t="s">
        <v>93</v>
      </c>
      <c r="B79" s="2">
        <v>0</v>
      </c>
      <c r="C79" s="1" t="s">
        <v>14</v>
      </c>
      <c r="D79" s="1" t="s">
        <v>14</v>
      </c>
      <c r="E79" s="1" t="s">
        <v>14</v>
      </c>
      <c r="F79" s="1" t="s">
        <v>14</v>
      </c>
      <c r="G79" s="1" t="s">
        <v>14</v>
      </c>
      <c r="H79" s="1" t="s">
        <v>14</v>
      </c>
      <c r="I79" s="1" t="s">
        <v>14</v>
      </c>
      <c r="J79" s="1" t="s">
        <v>14</v>
      </c>
      <c r="K79" s="1" t="s">
        <v>14</v>
      </c>
      <c r="L79" s="1" t="s">
        <v>14</v>
      </c>
      <c r="M79" s="1" t="s">
        <v>14</v>
      </c>
    </row>
    <row r="80" spans="1:13" x14ac:dyDescent="0.3">
      <c r="A80" s="1" t="s">
        <v>94</v>
      </c>
      <c r="B80" s="2">
        <v>0</v>
      </c>
      <c r="C80" s="1" t="s">
        <v>14</v>
      </c>
      <c r="D80" s="1" t="s">
        <v>14</v>
      </c>
      <c r="E80" s="1" t="s">
        <v>14</v>
      </c>
      <c r="F80" s="1" t="s">
        <v>14</v>
      </c>
      <c r="G80" s="1" t="s">
        <v>14</v>
      </c>
      <c r="H80" s="1" t="s">
        <v>14</v>
      </c>
      <c r="I80" s="1" t="s">
        <v>14</v>
      </c>
      <c r="J80" s="1" t="s">
        <v>14</v>
      </c>
      <c r="K80" s="1" t="s">
        <v>14</v>
      </c>
      <c r="L80" s="1" t="s">
        <v>14</v>
      </c>
      <c r="M80" s="1" t="s">
        <v>14</v>
      </c>
    </row>
    <row r="81" spans="1:13" x14ac:dyDescent="0.3">
      <c r="A81" s="1" t="s">
        <v>95</v>
      </c>
      <c r="B81" s="2">
        <v>0</v>
      </c>
      <c r="C81" s="1" t="s">
        <v>75</v>
      </c>
      <c r="D81" s="1" t="s">
        <v>75</v>
      </c>
      <c r="E81" s="1" t="s">
        <v>75</v>
      </c>
      <c r="F81" s="1" t="s">
        <v>75</v>
      </c>
      <c r="G81" s="1" t="s">
        <v>75</v>
      </c>
      <c r="H81" s="1" t="s">
        <v>75</v>
      </c>
      <c r="I81" s="1" t="s">
        <v>75</v>
      </c>
      <c r="J81" s="1" t="s">
        <v>75</v>
      </c>
      <c r="K81" s="1" t="s">
        <v>75</v>
      </c>
      <c r="L81" s="1" t="s">
        <v>75</v>
      </c>
      <c r="M81" s="1" t="s">
        <v>75</v>
      </c>
    </row>
    <row r="82" spans="1:13" x14ac:dyDescent="0.3">
      <c r="A82" s="1" t="s">
        <v>96</v>
      </c>
      <c r="B82" s="2">
        <v>0</v>
      </c>
      <c r="C82" s="1" t="s">
        <v>14</v>
      </c>
      <c r="D82" s="1" t="s">
        <v>14</v>
      </c>
      <c r="E82" s="1" t="s">
        <v>14</v>
      </c>
      <c r="F82" s="1" t="s">
        <v>14</v>
      </c>
      <c r="G82" s="1" t="s">
        <v>14</v>
      </c>
      <c r="H82" s="1" t="s">
        <v>14</v>
      </c>
      <c r="I82" s="1" t="s">
        <v>14</v>
      </c>
      <c r="J82" s="1" t="s">
        <v>14</v>
      </c>
      <c r="K82" s="1" t="s">
        <v>14</v>
      </c>
      <c r="L82" s="1" t="s">
        <v>14</v>
      </c>
      <c r="M82" s="1" t="s">
        <v>14</v>
      </c>
    </row>
    <row r="83" spans="1:13" x14ac:dyDescent="0.3">
      <c r="A83" s="1" t="s">
        <v>97</v>
      </c>
      <c r="B83" s="2">
        <v>0</v>
      </c>
      <c r="C83" s="1" t="s">
        <v>14</v>
      </c>
      <c r="D83" s="1" t="s">
        <v>14</v>
      </c>
      <c r="E83" s="1" t="s">
        <v>14</v>
      </c>
      <c r="F83" s="1" t="s">
        <v>14</v>
      </c>
      <c r="G83" s="1" t="s">
        <v>14</v>
      </c>
      <c r="H83" s="1" t="s">
        <v>14</v>
      </c>
      <c r="I83" s="1" t="s">
        <v>14</v>
      </c>
      <c r="J83" s="1" t="s">
        <v>14</v>
      </c>
      <c r="K83" s="1" t="s">
        <v>14</v>
      </c>
      <c r="L83" s="1" t="s">
        <v>14</v>
      </c>
      <c r="M83" s="1" t="s">
        <v>14</v>
      </c>
    </row>
    <row r="84" spans="1:13" x14ac:dyDescent="0.3">
      <c r="A84" s="1" t="s">
        <v>98</v>
      </c>
      <c r="B84" s="2">
        <v>0</v>
      </c>
      <c r="C84" s="1" t="s">
        <v>14</v>
      </c>
      <c r="D84" s="1" t="s">
        <v>14</v>
      </c>
      <c r="E84" s="1" t="s">
        <v>14</v>
      </c>
      <c r="F84" s="1" t="s">
        <v>14</v>
      </c>
      <c r="G84" s="1" t="s">
        <v>14</v>
      </c>
      <c r="H84" s="1" t="s">
        <v>14</v>
      </c>
      <c r="I84" s="1" t="s">
        <v>14</v>
      </c>
      <c r="J84" s="1" t="s">
        <v>14</v>
      </c>
      <c r="K84" s="1" t="s">
        <v>14</v>
      </c>
      <c r="L84" s="1" t="s">
        <v>14</v>
      </c>
      <c r="M84" s="1" t="s">
        <v>14</v>
      </c>
    </row>
    <row r="85" spans="1:13" x14ac:dyDescent="0.3">
      <c r="A85" s="1" t="s">
        <v>99</v>
      </c>
      <c r="B85" s="2">
        <v>0</v>
      </c>
      <c r="C85" s="1" t="s">
        <v>14</v>
      </c>
      <c r="D85" s="1" t="s">
        <v>14</v>
      </c>
      <c r="E85" s="1" t="s">
        <v>14</v>
      </c>
      <c r="F85" s="1" t="s">
        <v>14</v>
      </c>
      <c r="G85" s="1" t="s">
        <v>14</v>
      </c>
      <c r="H85" s="1" t="s">
        <v>14</v>
      </c>
      <c r="I85" s="1" t="s">
        <v>14</v>
      </c>
      <c r="J85" s="1" t="s">
        <v>14</v>
      </c>
      <c r="K85" s="1" t="s">
        <v>14</v>
      </c>
      <c r="L85" s="1" t="s">
        <v>14</v>
      </c>
      <c r="M85" s="1" t="s">
        <v>14</v>
      </c>
    </row>
    <row r="86" spans="1:13" x14ac:dyDescent="0.3">
      <c r="A86" s="1" t="s">
        <v>100</v>
      </c>
      <c r="B86" s="2">
        <v>0</v>
      </c>
      <c r="C86" s="1" t="s">
        <v>14</v>
      </c>
      <c r="D86" s="1" t="s">
        <v>14</v>
      </c>
      <c r="E86" s="1" t="s">
        <v>14</v>
      </c>
      <c r="F86" s="1" t="s">
        <v>14</v>
      </c>
      <c r="G86" s="1" t="s">
        <v>14</v>
      </c>
      <c r="H86" s="1" t="s">
        <v>14</v>
      </c>
      <c r="I86" s="1" t="s">
        <v>14</v>
      </c>
      <c r="J86" s="1" t="s">
        <v>14</v>
      </c>
      <c r="K86" s="1" t="s">
        <v>14</v>
      </c>
      <c r="L86" s="1" t="s">
        <v>14</v>
      </c>
      <c r="M86" s="1" t="s">
        <v>14</v>
      </c>
    </row>
    <row r="87" spans="1:13" x14ac:dyDescent="0.3">
      <c r="A87" s="1" t="s">
        <v>101</v>
      </c>
      <c r="B87" s="2">
        <v>0</v>
      </c>
      <c r="C87" s="1" t="s">
        <v>14</v>
      </c>
      <c r="D87" s="1" t="s">
        <v>14</v>
      </c>
      <c r="E87" s="1" t="s">
        <v>14</v>
      </c>
      <c r="F87" s="1" t="s">
        <v>14</v>
      </c>
      <c r="G87" s="1" t="s">
        <v>14</v>
      </c>
      <c r="H87" s="1" t="s">
        <v>14</v>
      </c>
      <c r="I87" s="1" t="s">
        <v>14</v>
      </c>
      <c r="J87" s="1" t="s">
        <v>14</v>
      </c>
      <c r="K87" s="1" t="s">
        <v>14</v>
      </c>
      <c r="L87" s="1" t="s">
        <v>14</v>
      </c>
      <c r="M87" s="1" t="s">
        <v>14</v>
      </c>
    </row>
    <row r="88" spans="1:13" x14ac:dyDescent="0.3">
      <c r="A88" s="1" t="s">
        <v>102</v>
      </c>
      <c r="B88" s="2">
        <v>0</v>
      </c>
      <c r="C88" s="1" t="s">
        <v>14</v>
      </c>
      <c r="D88" s="1" t="s">
        <v>14</v>
      </c>
      <c r="E88" s="1" t="s">
        <v>14</v>
      </c>
      <c r="F88" s="1" t="s">
        <v>14</v>
      </c>
      <c r="G88" s="1" t="s">
        <v>14</v>
      </c>
      <c r="H88" s="1" t="s">
        <v>14</v>
      </c>
      <c r="I88" s="1" t="s">
        <v>14</v>
      </c>
      <c r="J88" s="1" t="s">
        <v>14</v>
      </c>
      <c r="K88" s="1" t="s">
        <v>14</v>
      </c>
      <c r="L88" s="1" t="s">
        <v>14</v>
      </c>
      <c r="M88" s="1" t="s">
        <v>14</v>
      </c>
    </row>
    <row r="89" spans="1:13" x14ac:dyDescent="0.3">
      <c r="A89" s="1" t="s">
        <v>103</v>
      </c>
      <c r="B89" s="2">
        <v>0</v>
      </c>
      <c r="C89" s="1" t="s">
        <v>14</v>
      </c>
      <c r="D89" s="1" t="s">
        <v>14</v>
      </c>
      <c r="E89" s="1" t="s">
        <v>14</v>
      </c>
      <c r="F89" s="1" t="s">
        <v>14</v>
      </c>
      <c r="G89" s="1" t="s">
        <v>14</v>
      </c>
      <c r="H89" s="1" t="s">
        <v>14</v>
      </c>
      <c r="I89" s="1" t="s">
        <v>14</v>
      </c>
      <c r="J89" s="1" t="s">
        <v>14</v>
      </c>
      <c r="K89" s="1" t="s">
        <v>14</v>
      </c>
      <c r="L89" s="1" t="s">
        <v>14</v>
      </c>
      <c r="M89" s="1" t="s">
        <v>14</v>
      </c>
    </row>
    <row r="90" spans="1:13" x14ac:dyDescent="0.3">
      <c r="A90" s="1" t="s">
        <v>104</v>
      </c>
      <c r="B90" s="2">
        <v>0</v>
      </c>
      <c r="C90" s="1" t="s">
        <v>14</v>
      </c>
      <c r="D90" s="1" t="s">
        <v>14</v>
      </c>
      <c r="E90" s="1" t="s">
        <v>14</v>
      </c>
      <c r="F90" s="1" t="s">
        <v>14</v>
      </c>
      <c r="G90" s="1" t="s">
        <v>14</v>
      </c>
      <c r="H90" s="1" t="s">
        <v>14</v>
      </c>
      <c r="I90" s="1" t="s">
        <v>14</v>
      </c>
      <c r="J90" s="1" t="s">
        <v>14</v>
      </c>
      <c r="K90" s="1" t="s">
        <v>14</v>
      </c>
      <c r="L90" s="1" t="s">
        <v>14</v>
      </c>
      <c r="M90" s="1" t="s">
        <v>14</v>
      </c>
    </row>
    <row r="91" spans="1:13" x14ac:dyDescent="0.3">
      <c r="A91" s="1" t="s">
        <v>105</v>
      </c>
      <c r="B91" s="2">
        <v>0</v>
      </c>
      <c r="C91" s="1" t="s">
        <v>14</v>
      </c>
      <c r="D91" s="1" t="s">
        <v>14</v>
      </c>
      <c r="E91" s="1" t="s">
        <v>14</v>
      </c>
      <c r="F91" s="1" t="s">
        <v>14</v>
      </c>
      <c r="G91" s="1" t="s">
        <v>14</v>
      </c>
      <c r="H91" s="1" t="s">
        <v>14</v>
      </c>
      <c r="I91" s="1" t="s">
        <v>14</v>
      </c>
      <c r="J91" s="1" t="s">
        <v>14</v>
      </c>
      <c r="K91" s="1" t="s">
        <v>14</v>
      </c>
      <c r="L91" s="1" t="s">
        <v>14</v>
      </c>
      <c r="M91" s="1" t="s">
        <v>14</v>
      </c>
    </row>
    <row r="92" spans="1:13" x14ac:dyDescent="0.3">
      <c r="A92" s="1" t="s">
        <v>106</v>
      </c>
      <c r="B92" s="2">
        <v>0</v>
      </c>
      <c r="C92" s="1" t="s">
        <v>14</v>
      </c>
      <c r="D92" s="1" t="s">
        <v>14</v>
      </c>
      <c r="E92" s="1" t="s">
        <v>14</v>
      </c>
      <c r="F92" s="1" t="s">
        <v>14</v>
      </c>
      <c r="G92" s="1" t="s">
        <v>14</v>
      </c>
      <c r="H92" s="1" t="s">
        <v>14</v>
      </c>
      <c r="I92" s="1" t="s">
        <v>14</v>
      </c>
      <c r="J92" s="1" t="s">
        <v>14</v>
      </c>
      <c r="K92" s="1" t="s">
        <v>14</v>
      </c>
      <c r="L92" s="1" t="s">
        <v>14</v>
      </c>
      <c r="M92" s="1" t="s">
        <v>14</v>
      </c>
    </row>
    <row r="93" spans="1:13" x14ac:dyDescent="0.3">
      <c r="A93" s="1" t="s">
        <v>107</v>
      </c>
      <c r="B93" s="2">
        <v>0</v>
      </c>
      <c r="C93" s="1" t="s">
        <v>14</v>
      </c>
      <c r="D93" s="1" t="s">
        <v>14</v>
      </c>
      <c r="E93" s="1" t="s">
        <v>14</v>
      </c>
      <c r="F93" s="1" t="s">
        <v>14</v>
      </c>
      <c r="G93" s="1" t="s">
        <v>14</v>
      </c>
      <c r="H93" s="1" t="s">
        <v>14</v>
      </c>
      <c r="I93" s="1" t="s">
        <v>14</v>
      </c>
      <c r="J93" s="1" t="s">
        <v>14</v>
      </c>
      <c r="K93" s="1" t="s">
        <v>14</v>
      </c>
      <c r="L93" s="1" t="s">
        <v>14</v>
      </c>
      <c r="M93" s="1" t="s">
        <v>14</v>
      </c>
    </row>
    <row r="94" spans="1:13" x14ac:dyDescent="0.3">
      <c r="A94" s="1" t="s">
        <v>108</v>
      </c>
      <c r="B94" s="2">
        <v>0</v>
      </c>
      <c r="C94" s="1" t="s">
        <v>14</v>
      </c>
      <c r="D94" s="1" t="s">
        <v>14</v>
      </c>
      <c r="E94" s="1" t="s">
        <v>14</v>
      </c>
      <c r="F94" s="1" t="s">
        <v>14</v>
      </c>
      <c r="G94" s="1" t="s">
        <v>14</v>
      </c>
      <c r="H94" s="1" t="s">
        <v>14</v>
      </c>
      <c r="I94" s="1" t="s">
        <v>14</v>
      </c>
      <c r="J94" s="1" t="s">
        <v>14</v>
      </c>
      <c r="K94" s="1" t="s">
        <v>14</v>
      </c>
      <c r="L94" s="1" t="s">
        <v>14</v>
      </c>
      <c r="M94" s="1" t="s">
        <v>14</v>
      </c>
    </row>
    <row r="95" spans="1:13" x14ac:dyDescent="0.3">
      <c r="A95" s="1" t="s">
        <v>109</v>
      </c>
      <c r="B95" s="2">
        <v>0</v>
      </c>
      <c r="C95" s="1" t="s">
        <v>14</v>
      </c>
      <c r="D95" s="1" t="s">
        <v>14</v>
      </c>
      <c r="E95" s="1" t="s">
        <v>14</v>
      </c>
      <c r="F95" s="1" t="s">
        <v>14</v>
      </c>
      <c r="G95" s="1" t="s">
        <v>14</v>
      </c>
      <c r="H95" s="1" t="s">
        <v>14</v>
      </c>
      <c r="I95" s="1" t="s">
        <v>14</v>
      </c>
      <c r="J95" s="1" t="s">
        <v>14</v>
      </c>
      <c r="K95" s="1" t="s">
        <v>14</v>
      </c>
      <c r="L95" s="1" t="s">
        <v>14</v>
      </c>
      <c r="M95" s="1" t="s">
        <v>14</v>
      </c>
    </row>
    <row r="96" spans="1:13" x14ac:dyDescent="0.3">
      <c r="A96" s="1" t="s">
        <v>110</v>
      </c>
      <c r="B96" s="2">
        <v>0</v>
      </c>
      <c r="C96" s="1" t="s">
        <v>75</v>
      </c>
      <c r="D96" s="1" t="s">
        <v>75</v>
      </c>
      <c r="E96" s="1" t="s">
        <v>75</v>
      </c>
      <c r="F96" s="1" t="s">
        <v>75</v>
      </c>
      <c r="G96" s="1" t="s">
        <v>75</v>
      </c>
      <c r="H96" s="1" t="s">
        <v>75</v>
      </c>
      <c r="I96" s="1" t="s">
        <v>75</v>
      </c>
      <c r="J96" s="1" t="s">
        <v>75</v>
      </c>
      <c r="K96" s="1" t="s">
        <v>75</v>
      </c>
      <c r="L96" s="1" t="s">
        <v>75</v>
      </c>
      <c r="M96" s="1" t="s">
        <v>75</v>
      </c>
    </row>
    <row r="97" spans="1:13" x14ac:dyDescent="0.3">
      <c r="A97" s="1" t="s">
        <v>111</v>
      </c>
      <c r="B97" s="2">
        <v>0</v>
      </c>
      <c r="C97" s="1" t="s">
        <v>14</v>
      </c>
      <c r="D97" s="1" t="s">
        <v>14</v>
      </c>
      <c r="E97" s="1" t="s">
        <v>14</v>
      </c>
      <c r="F97" s="1" t="s">
        <v>14</v>
      </c>
      <c r="G97" s="1" t="s">
        <v>14</v>
      </c>
      <c r="H97" s="1" t="s">
        <v>14</v>
      </c>
      <c r="I97" s="1" t="s">
        <v>14</v>
      </c>
      <c r="J97" s="1" t="s">
        <v>14</v>
      </c>
      <c r="K97" s="1" t="s">
        <v>14</v>
      </c>
      <c r="L97" s="1" t="s">
        <v>14</v>
      </c>
      <c r="M97" s="1" t="s">
        <v>14</v>
      </c>
    </row>
    <row r="98" spans="1:13" x14ac:dyDescent="0.3">
      <c r="A98" s="1" t="s">
        <v>112</v>
      </c>
      <c r="B98" s="2">
        <v>0</v>
      </c>
      <c r="C98" s="1" t="s">
        <v>14</v>
      </c>
      <c r="D98" s="1" t="s">
        <v>14</v>
      </c>
      <c r="E98" s="1" t="s">
        <v>14</v>
      </c>
      <c r="F98" s="1" t="s">
        <v>14</v>
      </c>
      <c r="G98" s="1" t="s">
        <v>14</v>
      </c>
      <c r="H98" s="1" t="s">
        <v>14</v>
      </c>
      <c r="I98" s="1" t="s">
        <v>14</v>
      </c>
      <c r="J98" s="1" t="s">
        <v>14</v>
      </c>
      <c r="K98" s="1" t="s">
        <v>14</v>
      </c>
      <c r="L98" s="1" t="s">
        <v>14</v>
      </c>
      <c r="M98" s="1" t="s">
        <v>14</v>
      </c>
    </row>
    <row r="99" spans="1:13" x14ac:dyDescent="0.3">
      <c r="A99" s="1" t="s">
        <v>113</v>
      </c>
      <c r="B99" s="2">
        <v>0</v>
      </c>
      <c r="C99" s="1" t="s">
        <v>16</v>
      </c>
      <c r="D99" s="1" t="s">
        <v>16</v>
      </c>
      <c r="E99" s="1" t="s">
        <v>16</v>
      </c>
      <c r="F99" s="1" t="s">
        <v>16</v>
      </c>
      <c r="G99" s="1" t="s">
        <v>16</v>
      </c>
      <c r="H99" s="1" t="s">
        <v>16</v>
      </c>
      <c r="I99" s="1" t="s">
        <v>16</v>
      </c>
      <c r="J99" s="1" t="s">
        <v>16</v>
      </c>
      <c r="K99" s="1" t="s">
        <v>16</v>
      </c>
      <c r="L99" s="1" t="s">
        <v>16</v>
      </c>
      <c r="M99" s="1" t="s">
        <v>16</v>
      </c>
    </row>
    <row r="100" spans="1:13" x14ac:dyDescent="0.3">
      <c r="A100" s="1" t="s">
        <v>114</v>
      </c>
      <c r="B100" s="2">
        <v>0</v>
      </c>
      <c r="C100" s="1" t="s">
        <v>14</v>
      </c>
      <c r="D100" s="1" t="s">
        <v>14</v>
      </c>
      <c r="E100" s="1" t="s">
        <v>14</v>
      </c>
      <c r="F100" s="1" t="s">
        <v>14</v>
      </c>
      <c r="G100" s="1" t="s">
        <v>14</v>
      </c>
      <c r="H100" s="1" t="s">
        <v>14</v>
      </c>
      <c r="I100" s="1" t="s">
        <v>14</v>
      </c>
      <c r="J100" s="1" t="s">
        <v>14</v>
      </c>
      <c r="K100" s="1" t="s">
        <v>14</v>
      </c>
      <c r="L100" s="1" t="s">
        <v>14</v>
      </c>
      <c r="M100" s="1" t="s">
        <v>14</v>
      </c>
    </row>
    <row r="101" spans="1:13" x14ac:dyDescent="0.3">
      <c r="A101" s="1" t="s">
        <v>115</v>
      </c>
      <c r="B101" s="2">
        <v>0</v>
      </c>
      <c r="C101" s="1" t="s">
        <v>14</v>
      </c>
      <c r="D101" s="1" t="s">
        <v>14</v>
      </c>
      <c r="E101" s="1" t="s">
        <v>14</v>
      </c>
      <c r="F101" s="1" t="s">
        <v>14</v>
      </c>
      <c r="G101" s="1" t="s">
        <v>14</v>
      </c>
      <c r="H101" s="1" t="s">
        <v>14</v>
      </c>
      <c r="I101" s="1" t="s">
        <v>14</v>
      </c>
      <c r="J101" s="1" t="s">
        <v>14</v>
      </c>
      <c r="K101" s="1" t="s">
        <v>14</v>
      </c>
      <c r="L101" s="1" t="s">
        <v>14</v>
      </c>
      <c r="M101" s="1" t="s">
        <v>14</v>
      </c>
    </row>
    <row r="102" spans="1:13" x14ac:dyDescent="0.3">
      <c r="A102" s="1" t="s">
        <v>116</v>
      </c>
      <c r="B102" s="2">
        <v>0</v>
      </c>
      <c r="C102" s="1" t="s">
        <v>14</v>
      </c>
      <c r="D102" s="1" t="s">
        <v>14</v>
      </c>
      <c r="E102" s="1" t="s">
        <v>14</v>
      </c>
      <c r="F102" s="1" t="s">
        <v>14</v>
      </c>
      <c r="G102" s="1" t="s">
        <v>14</v>
      </c>
      <c r="H102" s="1" t="s">
        <v>14</v>
      </c>
      <c r="I102" s="1" t="s">
        <v>14</v>
      </c>
      <c r="J102" s="1" t="s">
        <v>14</v>
      </c>
      <c r="K102" s="1" t="s">
        <v>14</v>
      </c>
      <c r="L102" s="1" t="s">
        <v>14</v>
      </c>
      <c r="M102" s="1" t="s">
        <v>14</v>
      </c>
    </row>
    <row r="103" spans="1:13" x14ac:dyDescent="0.3">
      <c r="A103" s="1" t="s">
        <v>117</v>
      </c>
      <c r="B103" s="2">
        <v>0</v>
      </c>
      <c r="C103" s="1" t="s">
        <v>14</v>
      </c>
      <c r="D103" s="1" t="s">
        <v>14</v>
      </c>
      <c r="E103" s="1" t="s">
        <v>14</v>
      </c>
      <c r="F103" s="1" t="s">
        <v>14</v>
      </c>
      <c r="G103" s="1" t="s">
        <v>14</v>
      </c>
      <c r="H103" s="1" t="s">
        <v>14</v>
      </c>
      <c r="I103" s="1" t="s">
        <v>14</v>
      </c>
      <c r="J103" s="1" t="s">
        <v>14</v>
      </c>
      <c r="K103" s="1" t="s">
        <v>14</v>
      </c>
      <c r="L103" s="1" t="s">
        <v>14</v>
      </c>
      <c r="M103" s="1" t="s">
        <v>14</v>
      </c>
    </row>
    <row r="104" spans="1:13" x14ac:dyDescent="0.3">
      <c r="A104" s="1" t="s">
        <v>118</v>
      </c>
      <c r="B104" s="2">
        <v>0</v>
      </c>
      <c r="C104" s="1" t="s">
        <v>14</v>
      </c>
      <c r="D104" s="1" t="s">
        <v>14</v>
      </c>
      <c r="E104" s="1" t="s">
        <v>14</v>
      </c>
      <c r="F104" s="1" t="s">
        <v>14</v>
      </c>
      <c r="G104" s="1" t="s">
        <v>14</v>
      </c>
      <c r="H104" s="1" t="s">
        <v>14</v>
      </c>
      <c r="I104" s="1" t="s">
        <v>14</v>
      </c>
      <c r="J104" s="1" t="s">
        <v>14</v>
      </c>
      <c r="K104" s="1" t="s">
        <v>14</v>
      </c>
      <c r="L104" s="1" t="s">
        <v>14</v>
      </c>
      <c r="M104" s="1" t="s">
        <v>14</v>
      </c>
    </row>
    <row r="105" spans="1:13" x14ac:dyDescent="0.3">
      <c r="A105" s="1" t="s">
        <v>119</v>
      </c>
      <c r="B105" s="2">
        <v>0</v>
      </c>
      <c r="C105" s="1" t="s">
        <v>14</v>
      </c>
      <c r="D105" s="1" t="s">
        <v>14</v>
      </c>
      <c r="E105" s="1" t="s">
        <v>14</v>
      </c>
      <c r="F105" s="1" t="s">
        <v>14</v>
      </c>
      <c r="G105" s="1" t="s">
        <v>14</v>
      </c>
      <c r="H105" s="1" t="s">
        <v>14</v>
      </c>
      <c r="I105" s="1" t="s">
        <v>14</v>
      </c>
      <c r="J105" s="1" t="s">
        <v>14</v>
      </c>
      <c r="K105" s="1" t="s">
        <v>14</v>
      </c>
      <c r="L105" s="1" t="s">
        <v>14</v>
      </c>
      <c r="M105" s="1" t="s">
        <v>14</v>
      </c>
    </row>
    <row r="106" spans="1:13" x14ac:dyDescent="0.3">
      <c r="A106" s="1" t="s">
        <v>120</v>
      </c>
      <c r="B106" s="2">
        <v>0</v>
      </c>
      <c r="C106" s="1" t="s">
        <v>14</v>
      </c>
      <c r="D106" s="1" t="s">
        <v>14</v>
      </c>
      <c r="E106" s="1" t="s">
        <v>14</v>
      </c>
      <c r="F106" s="1" t="s">
        <v>14</v>
      </c>
      <c r="G106" s="1" t="s">
        <v>14</v>
      </c>
      <c r="H106" s="1" t="s">
        <v>14</v>
      </c>
      <c r="I106" s="1" t="s">
        <v>14</v>
      </c>
      <c r="J106" s="1" t="s">
        <v>14</v>
      </c>
      <c r="K106" s="1" t="s">
        <v>14</v>
      </c>
      <c r="L106" s="1" t="s">
        <v>14</v>
      </c>
      <c r="M106" s="1" t="s">
        <v>14</v>
      </c>
    </row>
    <row r="107" spans="1:13" x14ac:dyDescent="0.3">
      <c r="A107" s="1" t="s">
        <v>121</v>
      </c>
      <c r="B107" s="2">
        <v>0</v>
      </c>
      <c r="C107" s="1" t="s">
        <v>14</v>
      </c>
      <c r="D107" s="1" t="s">
        <v>14</v>
      </c>
      <c r="E107" s="1" t="s">
        <v>14</v>
      </c>
      <c r="F107" s="1" t="s">
        <v>14</v>
      </c>
      <c r="G107" s="1" t="s">
        <v>14</v>
      </c>
      <c r="H107" s="1" t="s">
        <v>14</v>
      </c>
      <c r="I107" s="1" t="s">
        <v>14</v>
      </c>
      <c r="J107" s="1" t="s">
        <v>14</v>
      </c>
      <c r="K107" s="1" t="s">
        <v>14</v>
      </c>
      <c r="L107" s="1" t="s">
        <v>14</v>
      </c>
      <c r="M107" s="1" t="s">
        <v>14</v>
      </c>
    </row>
    <row r="108" spans="1:13" x14ac:dyDescent="0.3">
      <c r="A108" s="1" t="s">
        <v>122</v>
      </c>
      <c r="B108" s="2">
        <v>0</v>
      </c>
      <c r="C108" s="1" t="s">
        <v>16</v>
      </c>
      <c r="D108" s="1" t="s">
        <v>16</v>
      </c>
      <c r="E108" s="1" t="s">
        <v>16</v>
      </c>
      <c r="F108" s="1" t="s">
        <v>16</v>
      </c>
      <c r="G108" s="1" t="s">
        <v>16</v>
      </c>
      <c r="H108" s="1" t="s">
        <v>16</v>
      </c>
      <c r="I108" s="1" t="s">
        <v>16</v>
      </c>
      <c r="J108" s="1" t="s">
        <v>16</v>
      </c>
      <c r="K108" s="1" t="s">
        <v>16</v>
      </c>
      <c r="L108" s="1" t="s">
        <v>16</v>
      </c>
      <c r="M108" s="1" t="s">
        <v>16</v>
      </c>
    </row>
    <row r="109" spans="1:13" x14ac:dyDescent="0.3">
      <c r="A109" s="1" t="s">
        <v>123</v>
      </c>
      <c r="B109" s="2">
        <v>0</v>
      </c>
      <c r="C109" s="1" t="s">
        <v>16</v>
      </c>
      <c r="D109" s="1" t="s">
        <v>16</v>
      </c>
      <c r="E109" s="1" t="s">
        <v>16</v>
      </c>
      <c r="F109" s="1" t="s">
        <v>16</v>
      </c>
      <c r="G109" s="1" t="s">
        <v>16</v>
      </c>
      <c r="H109" s="1" t="s">
        <v>16</v>
      </c>
      <c r="I109" s="1" t="s">
        <v>16</v>
      </c>
      <c r="J109" s="1" t="s">
        <v>16</v>
      </c>
      <c r="K109" s="1" t="s">
        <v>16</v>
      </c>
      <c r="L109" s="1" t="s">
        <v>16</v>
      </c>
      <c r="M109" s="1" t="s">
        <v>16</v>
      </c>
    </row>
    <row r="110" spans="1:13" x14ac:dyDescent="0.3">
      <c r="A110" s="1" t="s">
        <v>124</v>
      </c>
      <c r="B110" s="2">
        <v>0</v>
      </c>
      <c r="C110" s="1" t="s">
        <v>16</v>
      </c>
      <c r="D110" s="1" t="s">
        <v>16</v>
      </c>
      <c r="E110" s="1" t="s">
        <v>16</v>
      </c>
      <c r="F110" s="1" t="s">
        <v>16</v>
      </c>
      <c r="G110" s="1" t="s">
        <v>16</v>
      </c>
      <c r="H110" s="1" t="s">
        <v>16</v>
      </c>
      <c r="I110" s="1" t="s">
        <v>16</v>
      </c>
      <c r="J110" s="1" t="s">
        <v>16</v>
      </c>
      <c r="K110" s="1" t="s">
        <v>16</v>
      </c>
      <c r="L110" s="1" t="s">
        <v>16</v>
      </c>
      <c r="M110" s="1" t="s">
        <v>16</v>
      </c>
    </row>
    <row r="111" spans="1:13" x14ac:dyDescent="0.3">
      <c r="A111" s="1" t="s">
        <v>125</v>
      </c>
      <c r="B111" s="2">
        <v>0</v>
      </c>
      <c r="C111" s="1" t="s">
        <v>16</v>
      </c>
      <c r="D111" s="1" t="s">
        <v>16</v>
      </c>
      <c r="E111" s="1" t="s">
        <v>16</v>
      </c>
      <c r="F111" s="1" t="s">
        <v>16</v>
      </c>
      <c r="G111" s="1" t="s">
        <v>16</v>
      </c>
      <c r="H111" s="1" t="s">
        <v>16</v>
      </c>
      <c r="I111" s="1" t="s">
        <v>16</v>
      </c>
      <c r="J111" s="1" t="s">
        <v>16</v>
      </c>
      <c r="K111" s="1" t="s">
        <v>16</v>
      </c>
      <c r="L111" s="1" t="s">
        <v>16</v>
      </c>
      <c r="M111" s="1" t="s">
        <v>16</v>
      </c>
    </row>
    <row r="112" spans="1:13" x14ac:dyDescent="0.3">
      <c r="A112" s="1" t="s">
        <v>126</v>
      </c>
      <c r="B112" s="2">
        <v>0</v>
      </c>
      <c r="C112" s="1" t="s">
        <v>16</v>
      </c>
      <c r="D112" s="1" t="s">
        <v>16</v>
      </c>
      <c r="E112" s="1" t="s">
        <v>16</v>
      </c>
      <c r="F112" s="1" t="s">
        <v>16</v>
      </c>
      <c r="G112" s="1" t="s">
        <v>16</v>
      </c>
      <c r="H112" s="1" t="s">
        <v>16</v>
      </c>
      <c r="I112" s="1" t="s">
        <v>16</v>
      </c>
      <c r="J112" s="1" t="s">
        <v>16</v>
      </c>
      <c r="K112" s="1" t="s">
        <v>16</v>
      </c>
      <c r="L112" s="1" t="s">
        <v>16</v>
      </c>
      <c r="M112" s="1" t="s">
        <v>16</v>
      </c>
    </row>
    <row r="113" spans="1:13" x14ac:dyDescent="0.3">
      <c r="A113" s="1" t="s">
        <v>127</v>
      </c>
      <c r="B113" s="2">
        <v>0</v>
      </c>
      <c r="C113" s="1" t="s">
        <v>14</v>
      </c>
      <c r="D113" s="1" t="s">
        <v>14</v>
      </c>
      <c r="E113" s="1" t="s">
        <v>14</v>
      </c>
      <c r="F113" s="1" t="s">
        <v>14</v>
      </c>
      <c r="G113" s="1" t="s">
        <v>14</v>
      </c>
      <c r="H113" s="1" t="s">
        <v>14</v>
      </c>
      <c r="I113" s="1" t="s">
        <v>14</v>
      </c>
      <c r="J113" s="1" t="s">
        <v>14</v>
      </c>
      <c r="K113" s="1" t="s">
        <v>14</v>
      </c>
      <c r="L113" s="1" t="s">
        <v>14</v>
      </c>
      <c r="M113" s="1" t="s">
        <v>14</v>
      </c>
    </row>
    <row r="114" spans="1:13" x14ac:dyDescent="0.3">
      <c r="A114" s="1" t="s">
        <v>128</v>
      </c>
      <c r="B114" s="2">
        <v>0</v>
      </c>
      <c r="C114" s="1" t="s">
        <v>14</v>
      </c>
      <c r="D114" s="1" t="s">
        <v>14</v>
      </c>
      <c r="E114" s="1" t="s">
        <v>14</v>
      </c>
      <c r="F114" s="1" t="s">
        <v>14</v>
      </c>
      <c r="G114" s="1" t="s">
        <v>14</v>
      </c>
      <c r="H114" s="1" t="s">
        <v>14</v>
      </c>
      <c r="I114" s="1" t="s">
        <v>14</v>
      </c>
      <c r="J114" s="1" t="s">
        <v>14</v>
      </c>
      <c r="K114" s="1" t="s">
        <v>14</v>
      </c>
      <c r="L114" s="1" t="s">
        <v>14</v>
      </c>
      <c r="M114" s="1" t="s">
        <v>14</v>
      </c>
    </row>
    <row r="115" spans="1:13" x14ac:dyDescent="0.3">
      <c r="A115" s="1" t="s">
        <v>129</v>
      </c>
      <c r="B115" s="2">
        <v>0</v>
      </c>
      <c r="C115" s="1" t="s">
        <v>14</v>
      </c>
      <c r="D115" s="1" t="s">
        <v>14</v>
      </c>
      <c r="E115" s="1" t="s">
        <v>14</v>
      </c>
      <c r="F115" s="1" t="s">
        <v>14</v>
      </c>
      <c r="G115" s="1" t="s">
        <v>14</v>
      </c>
      <c r="H115" s="1" t="s">
        <v>14</v>
      </c>
      <c r="I115" s="1" t="s">
        <v>14</v>
      </c>
      <c r="J115" s="1" t="s">
        <v>14</v>
      </c>
      <c r="K115" s="1" t="s">
        <v>14</v>
      </c>
      <c r="L115" s="1" t="s">
        <v>14</v>
      </c>
      <c r="M115" s="1" t="s">
        <v>14</v>
      </c>
    </row>
    <row r="116" spans="1:13" x14ac:dyDescent="0.3">
      <c r="A116" s="1" t="s">
        <v>130</v>
      </c>
      <c r="B116" s="2">
        <v>0</v>
      </c>
      <c r="C116" s="1" t="s">
        <v>14</v>
      </c>
      <c r="D116" s="1" t="s">
        <v>14</v>
      </c>
      <c r="E116" s="1" t="s">
        <v>14</v>
      </c>
      <c r="F116" s="1" t="s">
        <v>14</v>
      </c>
      <c r="G116" s="1" t="s">
        <v>14</v>
      </c>
      <c r="H116" s="1" t="s">
        <v>14</v>
      </c>
      <c r="I116" s="1" t="s">
        <v>14</v>
      </c>
      <c r="J116" s="1" t="s">
        <v>14</v>
      </c>
      <c r="K116" s="1" t="s">
        <v>14</v>
      </c>
      <c r="L116" s="1" t="s">
        <v>14</v>
      </c>
      <c r="M116" s="1" t="s">
        <v>14</v>
      </c>
    </row>
    <row r="117" spans="1:13" x14ac:dyDescent="0.3">
      <c r="A117" s="1" t="s">
        <v>131</v>
      </c>
      <c r="B117" s="2">
        <v>0</v>
      </c>
      <c r="C117" s="1" t="s">
        <v>14</v>
      </c>
      <c r="D117" s="1" t="s">
        <v>14</v>
      </c>
      <c r="E117" s="1" t="s">
        <v>14</v>
      </c>
      <c r="F117" s="1" t="s">
        <v>14</v>
      </c>
      <c r="G117" s="1" t="s">
        <v>14</v>
      </c>
      <c r="H117" s="1" t="s">
        <v>14</v>
      </c>
      <c r="I117" s="1" t="s">
        <v>14</v>
      </c>
      <c r="J117" s="1" t="s">
        <v>14</v>
      </c>
      <c r="K117" s="1" t="s">
        <v>14</v>
      </c>
      <c r="L117" s="1" t="s">
        <v>14</v>
      </c>
      <c r="M117" s="1" t="s">
        <v>14</v>
      </c>
    </row>
    <row r="118" spans="1:13" x14ac:dyDescent="0.3">
      <c r="A118" s="1" t="s">
        <v>132</v>
      </c>
      <c r="B118" s="2">
        <v>0</v>
      </c>
      <c r="C118" s="1" t="s">
        <v>16</v>
      </c>
      <c r="D118" s="1" t="s">
        <v>16</v>
      </c>
      <c r="E118" s="1" t="s">
        <v>16</v>
      </c>
      <c r="F118" s="1" t="s">
        <v>16</v>
      </c>
      <c r="G118" s="1" t="s">
        <v>16</v>
      </c>
      <c r="H118" s="1" t="s">
        <v>16</v>
      </c>
      <c r="I118" s="1" t="s">
        <v>16</v>
      </c>
      <c r="J118" s="1" t="s">
        <v>16</v>
      </c>
      <c r="K118" s="1" t="s">
        <v>16</v>
      </c>
      <c r="L118" s="1" t="s">
        <v>16</v>
      </c>
      <c r="M118" s="1" t="s">
        <v>16</v>
      </c>
    </row>
    <row r="119" spans="1:13" x14ac:dyDescent="0.3">
      <c r="A119" s="1" t="s">
        <v>133</v>
      </c>
      <c r="B119" s="2">
        <v>0</v>
      </c>
      <c r="C119" s="1" t="s">
        <v>16</v>
      </c>
      <c r="D119" s="1" t="s">
        <v>16</v>
      </c>
      <c r="E119" s="1" t="s">
        <v>16</v>
      </c>
      <c r="F119" s="1" t="s">
        <v>16</v>
      </c>
      <c r="G119" s="1" t="s">
        <v>16</v>
      </c>
      <c r="H119" s="1" t="s">
        <v>16</v>
      </c>
      <c r="I119" s="1" t="s">
        <v>16</v>
      </c>
      <c r="J119" s="1" t="s">
        <v>16</v>
      </c>
      <c r="K119" s="1" t="s">
        <v>16</v>
      </c>
      <c r="L119" s="1" t="s">
        <v>16</v>
      </c>
      <c r="M119" s="1" t="s">
        <v>16</v>
      </c>
    </row>
    <row r="120" spans="1:13" x14ac:dyDescent="0.3">
      <c r="A120" s="1" t="s">
        <v>134</v>
      </c>
      <c r="B120" s="2">
        <v>0</v>
      </c>
      <c r="C120" s="1" t="s">
        <v>14</v>
      </c>
      <c r="D120" s="1" t="s">
        <v>14</v>
      </c>
      <c r="E120" s="1" t="s">
        <v>14</v>
      </c>
      <c r="F120" s="1" t="s">
        <v>14</v>
      </c>
      <c r="G120" s="1" t="s">
        <v>14</v>
      </c>
      <c r="H120" s="1" t="s">
        <v>14</v>
      </c>
      <c r="I120" s="1" t="s">
        <v>14</v>
      </c>
      <c r="J120" s="1" t="s">
        <v>14</v>
      </c>
      <c r="K120" s="1" t="s">
        <v>14</v>
      </c>
      <c r="L120" s="1" t="s">
        <v>14</v>
      </c>
      <c r="M120" s="1" t="s">
        <v>14</v>
      </c>
    </row>
    <row r="121" spans="1:13" x14ac:dyDescent="0.3">
      <c r="A121" s="1" t="s">
        <v>135</v>
      </c>
      <c r="B121" s="2">
        <v>0</v>
      </c>
      <c r="C121" s="1" t="s">
        <v>16</v>
      </c>
      <c r="D121" s="1" t="s">
        <v>16</v>
      </c>
      <c r="E121" s="1" t="s">
        <v>16</v>
      </c>
      <c r="F121" s="1" t="s">
        <v>16</v>
      </c>
      <c r="G121" s="1" t="s">
        <v>16</v>
      </c>
      <c r="H121" s="1" t="s">
        <v>16</v>
      </c>
      <c r="I121" s="1" t="s">
        <v>16</v>
      </c>
      <c r="J121" s="1" t="s">
        <v>16</v>
      </c>
      <c r="K121" s="1" t="s">
        <v>16</v>
      </c>
      <c r="L121" s="1" t="s">
        <v>16</v>
      </c>
      <c r="M121" s="1" t="s">
        <v>16</v>
      </c>
    </row>
    <row r="122" spans="1:13" x14ac:dyDescent="0.3">
      <c r="A122" s="1" t="s">
        <v>136</v>
      </c>
      <c r="B122" s="2">
        <v>0</v>
      </c>
      <c r="C122" s="1" t="s">
        <v>16</v>
      </c>
      <c r="D122" s="1" t="s">
        <v>16</v>
      </c>
      <c r="E122" s="1" t="s">
        <v>16</v>
      </c>
      <c r="F122" s="1" t="s">
        <v>16</v>
      </c>
      <c r="G122" s="1" t="s">
        <v>16</v>
      </c>
      <c r="H122" s="1" t="s">
        <v>16</v>
      </c>
      <c r="I122" s="1" t="s">
        <v>16</v>
      </c>
      <c r="J122" s="1" t="s">
        <v>16</v>
      </c>
      <c r="K122" s="1" t="s">
        <v>16</v>
      </c>
      <c r="L122" s="1" t="s">
        <v>16</v>
      </c>
      <c r="M122" s="1" t="s">
        <v>16</v>
      </c>
    </row>
    <row r="123" spans="1:13" x14ac:dyDescent="0.3">
      <c r="A123" s="1" t="s">
        <v>137</v>
      </c>
      <c r="B123" s="2">
        <v>0</v>
      </c>
      <c r="C123" s="1" t="s">
        <v>14</v>
      </c>
      <c r="D123" s="1" t="s">
        <v>14</v>
      </c>
      <c r="E123" s="1" t="s">
        <v>14</v>
      </c>
      <c r="F123" s="1" t="s">
        <v>14</v>
      </c>
      <c r="G123" s="1" t="s">
        <v>14</v>
      </c>
      <c r="H123" s="1" t="s">
        <v>14</v>
      </c>
      <c r="I123" s="1" t="s">
        <v>14</v>
      </c>
      <c r="J123" s="1" t="s">
        <v>14</v>
      </c>
      <c r="K123" s="1" t="s">
        <v>14</v>
      </c>
      <c r="L123" s="1" t="s">
        <v>14</v>
      </c>
      <c r="M123" s="1" t="s">
        <v>14</v>
      </c>
    </row>
    <row r="124" spans="1:13" x14ac:dyDescent="0.3">
      <c r="A124" s="1" t="s">
        <v>138</v>
      </c>
      <c r="B124" s="2">
        <v>0</v>
      </c>
      <c r="C124" s="1" t="s">
        <v>14</v>
      </c>
      <c r="D124" s="1" t="s">
        <v>14</v>
      </c>
      <c r="E124" s="1" t="s">
        <v>14</v>
      </c>
      <c r="F124" s="1" t="s">
        <v>14</v>
      </c>
      <c r="G124" s="1" t="s">
        <v>14</v>
      </c>
      <c r="H124" s="1" t="s">
        <v>14</v>
      </c>
      <c r="I124" s="1" t="s">
        <v>14</v>
      </c>
      <c r="J124" s="1" t="s">
        <v>14</v>
      </c>
      <c r="K124" s="1" t="s">
        <v>14</v>
      </c>
      <c r="L124" s="1" t="s">
        <v>14</v>
      </c>
      <c r="M124" s="1" t="s">
        <v>14</v>
      </c>
    </row>
    <row r="125" spans="1:13" x14ac:dyDescent="0.3">
      <c r="A125" s="1" t="s">
        <v>139</v>
      </c>
      <c r="B125" s="2">
        <v>0</v>
      </c>
      <c r="C125" s="1" t="s">
        <v>14</v>
      </c>
      <c r="D125" s="1" t="s">
        <v>14</v>
      </c>
      <c r="E125" s="1" t="s">
        <v>14</v>
      </c>
      <c r="F125" s="1" t="s">
        <v>14</v>
      </c>
      <c r="G125" s="1" t="s">
        <v>14</v>
      </c>
      <c r="H125" s="1" t="s">
        <v>14</v>
      </c>
      <c r="I125" s="1" t="s">
        <v>14</v>
      </c>
      <c r="J125" s="1" t="s">
        <v>14</v>
      </c>
      <c r="K125" s="1" t="s">
        <v>14</v>
      </c>
      <c r="L125" s="1" t="s">
        <v>14</v>
      </c>
      <c r="M125" s="1" t="s">
        <v>14</v>
      </c>
    </row>
    <row r="126" spans="1:13" x14ac:dyDescent="0.3">
      <c r="A126" s="1" t="s">
        <v>140</v>
      </c>
      <c r="B126" s="2">
        <v>0</v>
      </c>
      <c r="C126" s="1" t="s">
        <v>141</v>
      </c>
      <c r="D126" s="1" t="s">
        <v>141</v>
      </c>
      <c r="E126" s="1" t="s">
        <v>141</v>
      </c>
      <c r="F126" s="1" t="s">
        <v>141</v>
      </c>
      <c r="G126" s="1" t="s">
        <v>141</v>
      </c>
      <c r="H126" s="1" t="s">
        <v>141</v>
      </c>
      <c r="I126" s="1" t="s">
        <v>141</v>
      </c>
      <c r="J126" s="1" t="s">
        <v>141</v>
      </c>
      <c r="K126" s="1" t="s">
        <v>141</v>
      </c>
      <c r="L126" s="1" t="s">
        <v>141</v>
      </c>
      <c r="M126" s="1" t="s">
        <v>141</v>
      </c>
    </row>
    <row r="127" spans="1:13" x14ac:dyDescent="0.3">
      <c r="A127" s="1" t="s">
        <v>142</v>
      </c>
      <c r="B127" s="2">
        <v>0</v>
      </c>
      <c r="C127" s="1" t="s">
        <v>14</v>
      </c>
      <c r="D127" s="1" t="s">
        <v>14</v>
      </c>
      <c r="E127" s="1" t="s">
        <v>14</v>
      </c>
      <c r="F127" s="1" t="s">
        <v>14</v>
      </c>
      <c r="G127" s="1" t="s">
        <v>14</v>
      </c>
      <c r="H127" s="1" t="s">
        <v>14</v>
      </c>
      <c r="I127" s="1" t="s">
        <v>14</v>
      </c>
      <c r="J127" s="1" t="s">
        <v>14</v>
      </c>
      <c r="K127" s="1" t="s">
        <v>14</v>
      </c>
      <c r="L127" s="1" t="s">
        <v>14</v>
      </c>
      <c r="M127" s="1" t="s">
        <v>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N127"/>
  <sheetViews>
    <sheetView topLeftCell="A10" workbookViewId="0">
      <selection activeCell="I25" sqref="I25"/>
    </sheetView>
  </sheetViews>
  <sheetFormatPr defaultRowHeight="14.4" x14ac:dyDescent="0.3"/>
  <cols>
    <col min="1" max="1" width="23" customWidth="1"/>
    <col min="2" max="2" width="44" customWidth="1"/>
    <col min="3" max="14" width="16" customWidth="1"/>
  </cols>
  <sheetData>
    <row r="1" spans="1:14" x14ac:dyDescent="0.3">
      <c r="A1" s="1" t="s">
        <v>0</v>
      </c>
      <c r="B1" s="1" t="s">
        <v>143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</row>
    <row r="2" spans="1:14" hidden="1" x14ac:dyDescent="0.3">
      <c r="A2" s="1" t="s">
        <v>13</v>
      </c>
      <c r="B2" s="1" t="s">
        <v>14</v>
      </c>
      <c r="C2" s="2">
        <v>0</v>
      </c>
      <c r="D2" s="2">
        <v>958</v>
      </c>
      <c r="E2" s="2">
        <v>1066</v>
      </c>
      <c r="F2" s="2">
        <v>1129</v>
      </c>
      <c r="G2" s="2">
        <v>1055</v>
      </c>
      <c r="H2" s="2">
        <v>1017</v>
      </c>
      <c r="I2" s="2">
        <v>913</v>
      </c>
      <c r="J2" s="2">
        <v>884</v>
      </c>
      <c r="K2" s="2">
        <v>780</v>
      </c>
      <c r="L2" s="2">
        <v>877</v>
      </c>
      <c r="M2" s="2">
        <v>993</v>
      </c>
      <c r="N2" s="2">
        <v>1255</v>
      </c>
    </row>
    <row r="3" spans="1:14" s="5" customFormat="1" x14ac:dyDescent="0.3">
      <c r="A3" s="3" t="s">
        <v>15</v>
      </c>
      <c r="B3" s="3" t="s">
        <v>16</v>
      </c>
      <c r="C3" s="4">
        <v>0</v>
      </c>
      <c r="D3" s="4">
        <v>318</v>
      </c>
      <c r="E3" s="4">
        <v>369</v>
      </c>
      <c r="F3" s="4">
        <v>352</v>
      </c>
      <c r="G3" s="4">
        <v>414</v>
      </c>
      <c r="H3" s="4">
        <v>455</v>
      </c>
      <c r="I3" s="4">
        <v>299</v>
      </c>
      <c r="J3" s="4">
        <v>482</v>
      </c>
      <c r="K3" s="4">
        <v>521</v>
      </c>
      <c r="L3" s="4">
        <v>437</v>
      </c>
      <c r="M3" s="4">
        <v>325</v>
      </c>
      <c r="N3" s="4">
        <v>300</v>
      </c>
    </row>
    <row r="4" spans="1:14" s="5" customFormat="1" x14ac:dyDescent="0.3">
      <c r="A4" s="3" t="s">
        <v>17</v>
      </c>
      <c r="B4" s="3" t="s">
        <v>16</v>
      </c>
      <c r="C4" s="4">
        <v>0</v>
      </c>
      <c r="D4" s="4">
        <v>646</v>
      </c>
      <c r="E4" s="4">
        <v>670</v>
      </c>
      <c r="F4" s="4">
        <v>662</v>
      </c>
      <c r="G4" s="4">
        <v>634</v>
      </c>
      <c r="H4" s="4">
        <v>728</v>
      </c>
      <c r="I4" s="4">
        <v>677</v>
      </c>
      <c r="J4" s="4">
        <v>537</v>
      </c>
      <c r="K4" s="4">
        <v>572</v>
      </c>
      <c r="L4" s="4">
        <v>525</v>
      </c>
      <c r="M4" s="4">
        <v>526</v>
      </c>
      <c r="N4" s="4">
        <v>578</v>
      </c>
    </row>
    <row r="5" spans="1:14" hidden="1" x14ac:dyDescent="0.3">
      <c r="A5" s="1" t="s">
        <v>18</v>
      </c>
      <c r="B5" s="1" t="s">
        <v>14</v>
      </c>
      <c r="C5" s="2">
        <v>0</v>
      </c>
      <c r="D5" s="4">
        <v>105</v>
      </c>
      <c r="E5" s="4">
        <v>337</v>
      </c>
      <c r="F5" s="4">
        <v>421</v>
      </c>
      <c r="G5" s="4">
        <v>438</v>
      </c>
      <c r="H5" s="4">
        <v>439</v>
      </c>
      <c r="I5" s="4">
        <v>336</v>
      </c>
      <c r="J5" s="4">
        <v>282</v>
      </c>
      <c r="K5" s="4">
        <v>288</v>
      </c>
      <c r="L5" s="4">
        <v>316</v>
      </c>
      <c r="M5" s="4">
        <v>315</v>
      </c>
      <c r="N5" s="4">
        <v>555</v>
      </c>
    </row>
    <row r="6" spans="1:14" hidden="1" x14ac:dyDescent="0.3">
      <c r="A6" s="1" t="s">
        <v>19</v>
      </c>
      <c r="B6" s="1" t="s">
        <v>14</v>
      </c>
      <c r="C6" s="2">
        <v>0</v>
      </c>
      <c r="D6" s="4">
        <v>2028</v>
      </c>
      <c r="E6" s="4">
        <v>1810</v>
      </c>
      <c r="F6" s="4">
        <v>1922</v>
      </c>
      <c r="G6" s="4">
        <v>1973</v>
      </c>
      <c r="H6" s="4">
        <v>2166</v>
      </c>
      <c r="I6" s="4">
        <v>2163</v>
      </c>
      <c r="J6" s="4">
        <v>1835</v>
      </c>
      <c r="K6" s="4">
        <v>2377</v>
      </c>
      <c r="L6" s="4">
        <v>0</v>
      </c>
      <c r="M6" s="4">
        <v>0</v>
      </c>
      <c r="N6" s="4">
        <v>0</v>
      </c>
    </row>
    <row r="7" spans="1:14" s="5" customFormat="1" x14ac:dyDescent="0.3">
      <c r="A7" s="3" t="s">
        <v>20</v>
      </c>
      <c r="B7" s="3" t="s">
        <v>16</v>
      </c>
      <c r="C7" s="4">
        <v>0</v>
      </c>
      <c r="D7" s="4">
        <v>193</v>
      </c>
      <c r="E7" s="4">
        <v>130</v>
      </c>
      <c r="F7" s="4">
        <v>164</v>
      </c>
      <c r="G7" s="4">
        <v>153</v>
      </c>
      <c r="H7" s="4">
        <v>131</v>
      </c>
      <c r="I7" s="4">
        <v>110</v>
      </c>
      <c r="J7" s="4">
        <v>64</v>
      </c>
      <c r="K7" s="4">
        <v>646</v>
      </c>
      <c r="L7" s="4">
        <v>572</v>
      </c>
      <c r="M7" s="4">
        <v>431</v>
      </c>
      <c r="N7" s="4">
        <v>432</v>
      </c>
    </row>
    <row r="8" spans="1:14" hidden="1" x14ac:dyDescent="0.3">
      <c r="A8" s="1" t="s">
        <v>21</v>
      </c>
      <c r="B8" s="1" t="s">
        <v>14</v>
      </c>
      <c r="C8" s="2">
        <v>0</v>
      </c>
      <c r="D8" s="4">
        <v>242</v>
      </c>
      <c r="E8" s="4">
        <v>254</v>
      </c>
      <c r="F8" s="4">
        <v>236</v>
      </c>
      <c r="G8" s="4">
        <v>236</v>
      </c>
      <c r="H8" s="4">
        <v>239</v>
      </c>
      <c r="I8" s="4">
        <v>240</v>
      </c>
      <c r="J8" s="4">
        <v>248</v>
      </c>
      <c r="K8" s="4">
        <v>461</v>
      </c>
      <c r="L8" s="4">
        <v>319</v>
      </c>
      <c r="M8" s="4">
        <v>316</v>
      </c>
      <c r="N8" s="4">
        <v>365</v>
      </c>
    </row>
    <row r="9" spans="1:14" hidden="1" x14ac:dyDescent="0.3">
      <c r="A9" s="1" t="s">
        <v>22</v>
      </c>
      <c r="B9" s="1" t="s">
        <v>14</v>
      </c>
      <c r="C9" s="2">
        <v>0</v>
      </c>
      <c r="D9" s="4">
        <v>253</v>
      </c>
      <c r="E9" s="4">
        <v>257</v>
      </c>
      <c r="F9" s="4">
        <v>429</v>
      </c>
      <c r="G9" s="4">
        <v>520</v>
      </c>
      <c r="H9" s="4">
        <v>483</v>
      </c>
      <c r="I9" s="4">
        <v>520</v>
      </c>
      <c r="J9" s="4">
        <v>455</v>
      </c>
      <c r="K9" s="4">
        <v>363</v>
      </c>
      <c r="L9" s="4">
        <v>447</v>
      </c>
      <c r="M9" s="4">
        <v>499</v>
      </c>
      <c r="N9" s="4">
        <v>560</v>
      </c>
    </row>
    <row r="10" spans="1:14" s="5" customFormat="1" x14ac:dyDescent="0.3">
      <c r="A10" s="3" t="s">
        <v>23</v>
      </c>
      <c r="B10" s="3" t="s">
        <v>16</v>
      </c>
      <c r="C10" s="4">
        <v>0</v>
      </c>
      <c r="D10" s="4">
        <v>30</v>
      </c>
      <c r="E10" s="4">
        <v>30</v>
      </c>
      <c r="F10" s="4">
        <v>0</v>
      </c>
      <c r="G10" s="4">
        <v>30</v>
      </c>
      <c r="H10" s="4">
        <v>30</v>
      </c>
      <c r="I10" s="4">
        <v>30</v>
      </c>
      <c r="J10" s="4">
        <v>30</v>
      </c>
      <c r="K10" s="4">
        <v>30</v>
      </c>
      <c r="L10" s="4">
        <v>30</v>
      </c>
      <c r="M10" s="4">
        <v>30</v>
      </c>
      <c r="N10" s="4">
        <v>30</v>
      </c>
    </row>
    <row r="11" spans="1:14" s="5" customFormat="1" x14ac:dyDescent="0.3">
      <c r="A11" s="3" t="s">
        <v>24</v>
      </c>
      <c r="B11" s="3" t="s">
        <v>16</v>
      </c>
      <c r="C11" s="4">
        <v>0</v>
      </c>
      <c r="D11" s="4">
        <v>733</v>
      </c>
      <c r="E11" s="4">
        <v>846</v>
      </c>
      <c r="F11" s="4">
        <v>804</v>
      </c>
      <c r="G11" s="4">
        <v>764</v>
      </c>
      <c r="H11" s="4">
        <v>828</v>
      </c>
      <c r="I11" s="4">
        <v>506</v>
      </c>
      <c r="J11" s="4">
        <v>476</v>
      </c>
      <c r="K11" s="4">
        <v>30</v>
      </c>
      <c r="L11" s="4">
        <v>30</v>
      </c>
      <c r="M11" s="4">
        <v>0</v>
      </c>
      <c r="N11" s="4">
        <v>0</v>
      </c>
    </row>
    <row r="12" spans="1:14" s="5" customFormat="1" x14ac:dyDescent="0.3">
      <c r="A12" s="3" t="s">
        <v>25</v>
      </c>
      <c r="B12" s="3" t="s">
        <v>16</v>
      </c>
      <c r="C12" s="4">
        <v>0</v>
      </c>
      <c r="D12" s="4">
        <v>30</v>
      </c>
      <c r="E12" s="4">
        <v>30</v>
      </c>
      <c r="F12" s="4">
        <v>30</v>
      </c>
      <c r="G12" s="4">
        <v>30</v>
      </c>
      <c r="H12" s="4">
        <v>30</v>
      </c>
      <c r="I12" s="4">
        <v>30</v>
      </c>
      <c r="J12" s="4">
        <v>30</v>
      </c>
      <c r="K12" s="4">
        <v>30</v>
      </c>
      <c r="L12" s="4">
        <v>30</v>
      </c>
      <c r="M12" s="4">
        <v>30</v>
      </c>
      <c r="N12" s="4">
        <v>30</v>
      </c>
    </row>
    <row r="13" spans="1:14" s="5" customFormat="1" x14ac:dyDescent="0.3">
      <c r="A13" s="3" t="s">
        <v>26</v>
      </c>
      <c r="B13" s="3" t="s">
        <v>16</v>
      </c>
      <c r="C13" s="4">
        <v>0</v>
      </c>
      <c r="D13" s="4">
        <v>30</v>
      </c>
      <c r="E13" s="4">
        <v>30</v>
      </c>
      <c r="F13" s="4">
        <v>30</v>
      </c>
      <c r="G13" s="4">
        <v>30</v>
      </c>
      <c r="H13" s="4">
        <v>30</v>
      </c>
      <c r="I13" s="4">
        <v>30</v>
      </c>
      <c r="J13" s="4">
        <v>30</v>
      </c>
      <c r="K13" s="4">
        <v>30</v>
      </c>
      <c r="L13" s="4">
        <v>30</v>
      </c>
      <c r="M13" s="4">
        <v>30</v>
      </c>
      <c r="N13" s="4">
        <v>30</v>
      </c>
    </row>
    <row r="14" spans="1:14" s="5" customFormat="1" x14ac:dyDescent="0.3">
      <c r="A14" s="3" t="s">
        <v>27</v>
      </c>
      <c r="B14" s="3" t="s">
        <v>16</v>
      </c>
      <c r="C14" s="4">
        <v>0</v>
      </c>
      <c r="D14" s="4">
        <v>30</v>
      </c>
      <c r="E14" s="4">
        <v>30</v>
      </c>
      <c r="F14" s="4">
        <v>30</v>
      </c>
      <c r="G14" s="4">
        <v>30</v>
      </c>
      <c r="H14" s="4">
        <v>30</v>
      </c>
      <c r="I14" s="4">
        <v>30</v>
      </c>
      <c r="J14" s="4">
        <v>30</v>
      </c>
      <c r="K14" s="4">
        <v>30</v>
      </c>
      <c r="L14" s="4">
        <v>30</v>
      </c>
      <c r="M14" s="4">
        <v>30</v>
      </c>
      <c r="N14" s="4">
        <v>30</v>
      </c>
    </row>
    <row r="15" spans="1:14" hidden="1" x14ac:dyDescent="0.3">
      <c r="A15" s="1" t="s">
        <v>28</v>
      </c>
      <c r="B15" s="1" t="s">
        <v>14</v>
      </c>
      <c r="C15" s="2">
        <v>0</v>
      </c>
      <c r="D15" s="4">
        <v>30</v>
      </c>
      <c r="E15" s="4">
        <v>30</v>
      </c>
      <c r="F15" s="4">
        <v>30</v>
      </c>
      <c r="G15" s="4">
        <v>30</v>
      </c>
      <c r="H15" s="4">
        <v>30</v>
      </c>
      <c r="I15" s="4">
        <v>30</v>
      </c>
      <c r="J15" s="4">
        <v>30</v>
      </c>
      <c r="K15" s="4">
        <v>30</v>
      </c>
      <c r="L15" s="4">
        <v>30</v>
      </c>
      <c r="M15" s="4">
        <v>30</v>
      </c>
      <c r="N15" s="4">
        <v>30</v>
      </c>
    </row>
    <row r="16" spans="1:14" hidden="1" x14ac:dyDescent="0.3">
      <c r="A16" s="1" t="s">
        <v>29</v>
      </c>
      <c r="B16" s="1" t="s">
        <v>14</v>
      </c>
      <c r="C16" s="2">
        <v>0</v>
      </c>
      <c r="D16" s="4">
        <v>143</v>
      </c>
      <c r="E16" s="4">
        <v>155</v>
      </c>
      <c r="F16" s="4">
        <v>198</v>
      </c>
      <c r="G16" s="4">
        <v>211</v>
      </c>
      <c r="H16" s="4">
        <v>218</v>
      </c>
      <c r="I16" s="4">
        <v>212</v>
      </c>
      <c r="J16" s="4">
        <v>186</v>
      </c>
      <c r="K16" s="4">
        <v>179</v>
      </c>
      <c r="L16" s="4">
        <v>148</v>
      </c>
      <c r="M16" s="4">
        <v>200</v>
      </c>
      <c r="N16" s="4">
        <v>185</v>
      </c>
    </row>
    <row r="17" spans="1:14" s="5" customFormat="1" x14ac:dyDescent="0.3">
      <c r="A17" s="3" t="s">
        <v>30</v>
      </c>
      <c r="B17" s="3" t="s">
        <v>16</v>
      </c>
      <c r="C17" s="4">
        <v>0</v>
      </c>
      <c r="D17" s="4">
        <v>294</v>
      </c>
      <c r="E17" s="4">
        <v>282</v>
      </c>
      <c r="F17" s="4">
        <v>299</v>
      </c>
      <c r="G17" s="4">
        <v>322</v>
      </c>
      <c r="H17" s="4">
        <v>352</v>
      </c>
      <c r="I17" s="4">
        <v>340</v>
      </c>
      <c r="J17" s="4">
        <v>329</v>
      </c>
      <c r="K17" s="4">
        <v>280</v>
      </c>
      <c r="L17" s="4">
        <v>340</v>
      </c>
      <c r="M17" s="4">
        <v>357</v>
      </c>
      <c r="N17" s="4">
        <v>313</v>
      </c>
    </row>
    <row r="18" spans="1:14" s="5" customFormat="1" x14ac:dyDescent="0.3">
      <c r="A18" s="3" t="s">
        <v>31</v>
      </c>
      <c r="B18" s="3" t="s">
        <v>16</v>
      </c>
      <c r="C18" s="4">
        <v>0</v>
      </c>
      <c r="D18" s="4">
        <v>30</v>
      </c>
      <c r="E18" s="4">
        <v>30</v>
      </c>
      <c r="F18" s="4">
        <v>30</v>
      </c>
      <c r="G18" s="4">
        <v>30</v>
      </c>
      <c r="H18" s="4">
        <v>30</v>
      </c>
      <c r="I18" s="4">
        <v>30</v>
      </c>
      <c r="J18" s="4">
        <v>30</v>
      </c>
      <c r="K18" s="4">
        <v>30</v>
      </c>
      <c r="L18" s="4">
        <v>30</v>
      </c>
      <c r="M18" s="4">
        <v>30</v>
      </c>
      <c r="N18" s="4">
        <v>30</v>
      </c>
    </row>
    <row r="19" spans="1:14" s="5" customFormat="1" x14ac:dyDescent="0.3">
      <c r="A19" s="3" t="s">
        <v>32</v>
      </c>
      <c r="B19" s="3" t="s">
        <v>16</v>
      </c>
      <c r="C19" s="4">
        <v>0</v>
      </c>
      <c r="D19" s="4">
        <v>30</v>
      </c>
      <c r="E19" s="4">
        <v>30</v>
      </c>
      <c r="F19" s="4">
        <v>30</v>
      </c>
      <c r="G19" s="4">
        <v>30</v>
      </c>
      <c r="H19" s="4">
        <v>30</v>
      </c>
      <c r="I19" s="4">
        <v>30</v>
      </c>
      <c r="J19" s="4">
        <v>30</v>
      </c>
      <c r="K19" s="4">
        <v>30</v>
      </c>
      <c r="L19" s="4">
        <v>30</v>
      </c>
      <c r="M19" s="4">
        <v>30</v>
      </c>
      <c r="N19" s="4">
        <v>30</v>
      </c>
    </row>
    <row r="20" spans="1:14" hidden="1" x14ac:dyDescent="0.3">
      <c r="A20" s="1" t="s">
        <v>33</v>
      </c>
      <c r="B20" s="1" t="s">
        <v>14</v>
      </c>
      <c r="C20" s="2">
        <v>0</v>
      </c>
      <c r="D20" s="4">
        <v>7129</v>
      </c>
      <c r="E20" s="4">
        <v>7700</v>
      </c>
      <c r="F20" s="4">
        <v>7119</v>
      </c>
      <c r="G20" s="4">
        <v>6861</v>
      </c>
      <c r="H20" s="4">
        <v>7639</v>
      </c>
      <c r="I20" s="4">
        <v>6062</v>
      </c>
      <c r="J20" s="4">
        <v>5468</v>
      </c>
      <c r="K20" s="4">
        <v>5133</v>
      </c>
      <c r="L20" s="4">
        <v>4850</v>
      </c>
      <c r="M20" s="4">
        <v>7264</v>
      </c>
      <c r="N20" s="4">
        <v>9523</v>
      </c>
    </row>
    <row r="21" spans="1:14" hidden="1" x14ac:dyDescent="0.3">
      <c r="A21" s="1" t="s">
        <v>34</v>
      </c>
      <c r="B21" s="1" t="s">
        <v>14</v>
      </c>
      <c r="C21" s="2">
        <v>0</v>
      </c>
      <c r="D21" s="4">
        <v>30</v>
      </c>
      <c r="E21" s="4">
        <v>30</v>
      </c>
      <c r="F21" s="4">
        <v>30</v>
      </c>
      <c r="G21" s="4">
        <v>30</v>
      </c>
      <c r="H21" s="4">
        <v>30</v>
      </c>
      <c r="I21" s="4">
        <v>30</v>
      </c>
      <c r="J21" s="4">
        <v>30</v>
      </c>
      <c r="K21" s="4">
        <v>30</v>
      </c>
      <c r="L21" s="4">
        <v>30</v>
      </c>
      <c r="M21" s="4">
        <v>30</v>
      </c>
      <c r="N21" s="4">
        <v>30</v>
      </c>
    </row>
    <row r="22" spans="1:14" hidden="1" x14ac:dyDescent="0.3">
      <c r="A22" s="1" t="s">
        <v>35</v>
      </c>
      <c r="B22" s="1" t="s">
        <v>14</v>
      </c>
      <c r="C22" s="2">
        <v>0</v>
      </c>
      <c r="D22" s="4">
        <v>30</v>
      </c>
      <c r="E22" s="4">
        <v>30</v>
      </c>
      <c r="F22" s="4">
        <v>30</v>
      </c>
      <c r="G22" s="4">
        <v>30</v>
      </c>
      <c r="H22" s="4">
        <v>30</v>
      </c>
      <c r="I22" s="4">
        <v>30</v>
      </c>
      <c r="J22" s="4">
        <v>30</v>
      </c>
      <c r="K22" s="4">
        <v>30</v>
      </c>
      <c r="L22" s="4">
        <v>30</v>
      </c>
      <c r="M22" s="4">
        <v>30</v>
      </c>
      <c r="N22" s="4">
        <v>30</v>
      </c>
    </row>
    <row r="23" spans="1:14" hidden="1" x14ac:dyDescent="0.3">
      <c r="A23" s="1" t="s">
        <v>36</v>
      </c>
      <c r="B23" s="1" t="s">
        <v>14</v>
      </c>
      <c r="C23" s="2">
        <v>0</v>
      </c>
      <c r="D23" s="4">
        <v>323</v>
      </c>
      <c r="E23" s="4">
        <v>281</v>
      </c>
      <c r="F23" s="4">
        <v>300</v>
      </c>
      <c r="G23" s="4">
        <v>414</v>
      </c>
      <c r="H23" s="4">
        <v>452</v>
      </c>
      <c r="I23" s="4">
        <v>494</v>
      </c>
      <c r="J23" s="4">
        <v>354</v>
      </c>
      <c r="K23" s="4">
        <v>304</v>
      </c>
      <c r="L23" s="4">
        <v>258</v>
      </c>
      <c r="M23" s="4">
        <v>303</v>
      </c>
      <c r="N23" s="4">
        <v>243</v>
      </c>
    </row>
    <row r="24" spans="1:14" s="5" customFormat="1" x14ac:dyDescent="0.3">
      <c r="A24" s="3" t="s">
        <v>37</v>
      </c>
      <c r="B24" s="3" t="s">
        <v>16</v>
      </c>
      <c r="C24" s="4">
        <v>0</v>
      </c>
      <c r="D24" s="4">
        <v>827</v>
      </c>
      <c r="E24" s="4">
        <v>422</v>
      </c>
      <c r="F24" s="4">
        <v>288</v>
      </c>
      <c r="G24" s="4">
        <v>30</v>
      </c>
      <c r="H24" s="4">
        <v>94</v>
      </c>
      <c r="I24" s="4">
        <v>273</v>
      </c>
      <c r="J24" s="4">
        <v>332</v>
      </c>
      <c r="K24" s="4">
        <v>1422</v>
      </c>
      <c r="L24" s="4">
        <v>168</v>
      </c>
      <c r="M24" s="4">
        <v>1124</v>
      </c>
      <c r="N24" s="4">
        <v>200</v>
      </c>
    </row>
    <row r="25" spans="1:14" s="5" customFormat="1" x14ac:dyDescent="0.3">
      <c r="A25" s="3" t="s">
        <v>38</v>
      </c>
      <c r="B25" s="3" t="s">
        <v>16</v>
      </c>
      <c r="C25" s="4">
        <v>0</v>
      </c>
      <c r="D25" s="4">
        <v>1600</v>
      </c>
      <c r="E25" s="4">
        <v>1498</v>
      </c>
      <c r="F25" s="4">
        <v>1461</v>
      </c>
      <c r="G25" s="4">
        <v>1397</v>
      </c>
      <c r="H25" s="4">
        <v>1497</v>
      </c>
      <c r="I25" s="4">
        <v>1630</v>
      </c>
      <c r="J25" s="4">
        <v>1626</v>
      </c>
      <c r="K25" s="4">
        <v>1676</v>
      </c>
      <c r="L25" s="4">
        <v>1456</v>
      </c>
      <c r="M25" s="4">
        <v>1706</v>
      </c>
      <c r="N25" s="4">
        <v>1466</v>
      </c>
    </row>
    <row r="26" spans="1:14" s="5" customFormat="1" x14ac:dyDescent="0.3">
      <c r="A26" s="3" t="s">
        <v>39</v>
      </c>
      <c r="B26" s="3" t="s">
        <v>16</v>
      </c>
      <c r="C26" s="4">
        <v>0</v>
      </c>
      <c r="D26" s="4">
        <v>443</v>
      </c>
      <c r="E26" s="4">
        <v>697</v>
      </c>
      <c r="F26" s="4">
        <v>615</v>
      </c>
      <c r="G26" s="4">
        <v>508</v>
      </c>
      <c r="H26" s="4">
        <v>567</v>
      </c>
      <c r="I26" s="4">
        <v>570</v>
      </c>
      <c r="J26" s="4">
        <v>592</v>
      </c>
      <c r="K26" s="4">
        <v>650</v>
      </c>
      <c r="L26" s="4">
        <v>34</v>
      </c>
      <c r="M26" s="4">
        <v>30</v>
      </c>
      <c r="N26" s="4">
        <v>30</v>
      </c>
    </row>
    <row r="27" spans="1:14" hidden="1" x14ac:dyDescent="0.3">
      <c r="A27" s="1" t="s">
        <v>40</v>
      </c>
      <c r="B27" s="1" t="s">
        <v>14</v>
      </c>
      <c r="C27" s="2">
        <v>0</v>
      </c>
      <c r="D27" s="4">
        <v>641</v>
      </c>
      <c r="E27" s="4">
        <v>30</v>
      </c>
      <c r="F27" s="4">
        <v>321</v>
      </c>
      <c r="G27" s="4">
        <v>485</v>
      </c>
      <c r="H27" s="4">
        <v>450</v>
      </c>
      <c r="I27" s="4">
        <v>474</v>
      </c>
      <c r="J27" s="4">
        <v>392</v>
      </c>
      <c r="K27" s="4">
        <v>457</v>
      </c>
      <c r="L27" s="4">
        <v>338</v>
      </c>
      <c r="M27" s="4">
        <v>414</v>
      </c>
      <c r="N27" s="4">
        <v>486</v>
      </c>
    </row>
    <row r="28" spans="1:14" s="5" customFormat="1" x14ac:dyDescent="0.3">
      <c r="A28" s="3" t="s">
        <v>41</v>
      </c>
      <c r="B28" s="3" t="s">
        <v>16</v>
      </c>
      <c r="C28" s="4">
        <v>0</v>
      </c>
      <c r="D28" s="4">
        <v>30</v>
      </c>
      <c r="E28" s="4">
        <v>30</v>
      </c>
      <c r="F28" s="4">
        <v>30</v>
      </c>
      <c r="G28" s="4">
        <v>30</v>
      </c>
      <c r="H28" s="4">
        <v>41</v>
      </c>
      <c r="I28" s="4">
        <v>30</v>
      </c>
      <c r="J28" s="4">
        <v>30</v>
      </c>
      <c r="K28" s="4">
        <v>30</v>
      </c>
      <c r="L28" s="4">
        <v>30</v>
      </c>
      <c r="M28" s="4">
        <v>30</v>
      </c>
      <c r="N28" s="4">
        <v>30</v>
      </c>
    </row>
    <row r="29" spans="1:14" hidden="1" x14ac:dyDescent="0.3">
      <c r="A29" s="1" t="s">
        <v>42</v>
      </c>
      <c r="B29" s="1" t="s">
        <v>14</v>
      </c>
      <c r="C29" s="2">
        <v>0</v>
      </c>
      <c r="D29" s="4">
        <v>2550</v>
      </c>
      <c r="E29" s="4">
        <v>3526</v>
      </c>
      <c r="F29" s="4">
        <v>2928</v>
      </c>
      <c r="G29" s="4">
        <v>2605</v>
      </c>
      <c r="H29" s="4">
        <v>2613</v>
      </c>
      <c r="I29" s="4">
        <v>2451</v>
      </c>
      <c r="J29" s="4">
        <v>1867</v>
      </c>
      <c r="K29" s="4">
        <v>1891</v>
      </c>
      <c r="L29" s="4">
        <v>1939</v>
      </c>
      <c r="M29" s="4">
        <v>2710</v>
      </c>
      <c r="N29" s="4">
        <v>3028</v>
      </c>
    </row>
    <row r="30" spans="1:14" hidden="1" x14ac:dyDescent="0.3">
      <c r="A30" s="1" t="s">
        <v>43</v>
      </c>
      <c r="B30" s="1" t="s">
        <v>14</v>
      </c>
      <c r="C30" s="2">
        <v>0</v>
      </c>
      <c r="D30" s="4">
        <v>351</v>
      </c>
      <c r="E30" s="4">
        <v>257</v>
      </c>
      <c r="F30" s="4">
        <v>459</v>
      </c>
      <c r="G30" s="4">
        <v>659</v>
      </c>
      <c r="H30" s="4">
        <v>645</v>
      </c>
      <c r="I30" s="4">
        <v>598</v>
      </c>
      <c r="J30" s="4">
        <v>420</v>
      </c>
      <c r="K30" s="4">
        <v>342</v>
      </c>
      <c r="L30" s="4">
        <v>448</v>
      </c>
      <c r="M30" s="4">
        <v>529</v>
      </c>
      <c r="N30" s="4">
        <v>575</v>
      </c>
    </row>
    <row r="31" spans="1:14" hidden="1" x14ac:dyDescent="0.3">
      <c r="A31" s="1" t="s">
        <v>44</v>
      </c>
      <c r="B31" s="1" t="s">
        <v>14</v>
      </c>
      <c r="C31" s="2">
        <v>0</v>
      </c>
      <c r="D31" s="4">
        <v>100</v>
      </c>
      <c r="E31" s="4">
        <v>100</v>
      </c>
      <c r="F31" s="4">
        <v>100</v>
      </c>
      <c r="G31" s="4">
        <v>100</v>
      </c>
      <c r="H31" s="4">
        <v>100</v>
      </c>
      <c r="I31" s="4">
        <v>100</v>
      </c>
      <c r="J31" s="4">
        <v>100</v>
      </c>
      <c r="K31" s="4">
        <v>100</v>
      </c>
      <c r="L31" s="4">
        <v>100</v>
      </c>
      <c r="M31" s="4">
        <v>100</v>
      </c>
      <c r="N31" s="4">
        <v>100</v>
      </c>
    </row>
    <row r="32" spans="1:14" hidden="1" x14ac:dyDescent="0.3">
      <c r="A32" s="1" t="s">
        <v>45</v>
      </c>
      <c r="B32" s="1" t="s">
        <v>14</v>
      </c>
      <c r="C32" s="2">
        <v>0</v>
      </c>
      <c r="D32" s="4">
        <v>187</v>
      </c>
      <c r="E32" s="4">
        <v>161</v>
      </c>
      <c r="F32" s="4">
        <v>122</v>
      </c>
      <c r="G32" s="4">
        <v>307</v>
      </c>
      <c r="H32" s="4">
        <v>233</v>
      </c>
      <c r="I32" s="4">
        <v>227</v>
      </c>
      <c r="J32" s="4">
        <v>206</v>
      </c>
      <c r="K32" s="4">
        <v>190</v>
      </c>
      <c r="L32" s="4">
        <v>218</v>
      </c>
      <c r="M32" s="4">
        <v>227</v>
      </c>
      <c r="N32" s="4">
        <v>277</v>
      </c>
    </row>
    <row r="33" spans="1:14" hidden="1" x14ac:dyDescent="0.3">
      <c r="A33" s="1" t="s">
        <v>46</v>
      </c>
      <c r="B33" s="1" t="s">
        <v>14</v>
      </c>
      <c r="C33" s="2">
        <v>0</v>
      </c>
      <c r="D33" s="4">
        <v>30</v>
      </c>
      <c r="E33" s="4">
        <v>30</v>
      </c>
      <c r="F33" s="4">
        <v>30</v>
      </c>
      <c r="G33" s="4">
        <v>243</v>
      </c>
      <c r="H33" s="4">
        <v>239</v>
      </c>
      <c r="I33" s="4">
        <v>232</v>
      </c>
      <c r="J33" s="4">
        <v>204</v>
      </c>
      <c r="K33" s="4">
        <v>203</v>
      </c>
      <c r="L33" s="4">
        <v>206</v>
      </c>
      <c r="M33" s="4">
        <v>209</v>
      </c>
      <c r="N33" s="4">
        <v>252</v>
      </c>
    </row>
    <row r="34" spans="1:14" hidden="1" x14ac:dyDescent="0.3">
      <c r="A34" s="1" t="s">
        <v>47</v>
      </c>
      <c r="B34" s="1" t="s">
        <v>14</v>
      </c>
      <c r="C34" s="2">
        <v>0</v>
      </c>
      <c r="D34" s="4">
        <v>150</v>
      </c>
      <c r="E34" s="4">
        <v>178</v>
      </c>
      <c r="F34" s="4">
        <v>173</v>
      </c>
      <c r="G34" s="4">
        <v>56</v>
      </c>
      <c r="H34" s="4">
        <v>36</v>
      </c>
      <c r="I34" s="4">
        <v>30</v>
      </c>
      <c r="J34" s="4">
        <v>30</v>
      </c>
      <c r="K34" s="4">
        <v>59</v>
      </c>
      <c r="L34" s="4">
        <v>181</v>
      </c>
      <c r="M34" s="4">
        <v>141</v>
      </c>
      <c r="N34" s="4">
        <v>155</v>
      </c>
    </row>
    <row r="35" spans="1:14" hidden="1" x14ac:dyDescent="0.3">
      <c r="A35" s="1" t="s">
        <v>48</v>
      </c>
      <c r="B35" s="1" t="s">
        <v>14</v>
      </c>
      <c r="C35" s="2">
        <v>0</v>
      </c>
      <c r="D35" s="4">
        <v>30</v>
      </c>
      <c r="E35" s="4">
        <v>30</v>
      </c>
      <c r="F35" s="4">
        <v>30</v>
      </c>
      <c r="G35" s="4">
        <v>30</v>
      </c>
      <c r="H35" s="4">
        <v>30</v>
      </c>
      <c r="I35" s="4">
        <v>30</v>
      </c>
      <c r="J35" s="4">
        <v>30</v>
      </c>
      <c r="K35" s="4">
        <v>30</v>
      </c>
      <c r="L35" s="4">
        <v>30</v>
      </c>
      <c r="M35" s="4">
        <v>30</v>
      </c>
      <c r="N35" s="4">
        <v>30</v>
      </c>
    </row>
    <row r="36" spans="1:14" hidden="1" x14ac:dyDescent="0.3">
      <c r="A36" s="1" t="s">
        <v>49</v>
      </c>
      <c r="B36" s="1" t="s">
        <v>14</v>
      </c>
      <c r="C36" s="2">
        <v>0</v>
      </c>
      <c r="D36" s="4">
        <v>0</v>
      </c>
      <c r="E36" s="4">
        <v>0</v>
      </c>
      <c r="F36" s="4">
        <v>0</v>
      </c>
      <c r="G36" s="4">
        <v>0</v>
      </c>
      <c r="H36" s="4">
        <v>0</v>
      </c>
      <c r="I36" s="4">
        <v>0</v>
      </c>
      <c r="J36" s="4">
        <v>0</v>
      </c>
      <c r="K36" s="4">
        <v>0</v>
      </c>
      <c r="L36" s="4">
        <v>0</v>
      </c>
      <c r="M36" s="4">
        <v>8982</v>
      </c>
      <c r="N36" s="4">
        <v>8530</v>
      </c>
    </row>
    <row r="37" spans="1:14" hidden="1" x14ac:dyDescent="0.3">
      <c r="A37" s="1" t="s">
        <v>50</v>
      </c>
      <c r="B37" s="1" t="s">
        <v>14</v>
      </c>
      <c r="C37" s="2">
        <v>0</v>
      </c>
      <c r="D37" s="4">
        <v>79</v>
      </c>
      <c r="E37" s="4">
        <v>94</v>
      </c>
      <c r="F37" s="4">
        <v>61</v>
      </c>
      <c r="G37" s="4">
        <v>65</v>
      </c>
      <c r="H37" s="4">
        <v>74</v>
      </c>
      <c r="I37" s="4">
        <v>64</v>
      </c>
      <c r="J37" s="4">
        <v>53</v>
      </c>
      <c r="K37" s="4">
        <v>58</v>
      </c>
      <c r="L37" s="4">
        <v>67</v>
      </c>
      <c r="M37" s="4">
        <v>79</v>
      </c>
      <c r="N37" s="4">
        <v>95</v>
      </c>
    </row>
    <row r="38" spans="1:14" hidden="1" x14ac:dyDescent="0.3">
      <c r="A38" s="1" t="s">
        <v>51</v>
      </c>
      <c r="B38" s="1" t="s">
        <v>14</v>
      </c>
      <c r="C38" s="2">
        <v>0</v>
      </c>
      <c r="D38" s="4">
        <v>210</v>
      </c>
      <c r="E38" s="4">
        <v>232</v>
      </c>
      <c r="F38" s="4">
        <v>303</v>
      </c>
      <c r="G38" s="4">
        <v>357</v>
      </c>
      <c r="H38" s="4">
        <v>312</v>
      </c>
      <c r="I38" s="4">
        <v>305</v>
      </c>
      <c r="J38" s="4">
        <v>292</v>
      </c>
      <c r="K38" s="4">
        <v>201</v>
      </c>
      <c r="L38" s="4">
        <v>405</v>
      </c>
      <c r="M38" s="4">
        <v>309</v>
      </c>
      <c r="N38" s="4">
        <v>357</v>
      </c>
    </row>
    <row r="39" spans="1:14" s="5" customFormat="1" x14ac:dyDescent="0.3">
      <c r="A39" s="3" t="s">
        <v>52</v>
      </c>
      <c r="B39" s="3" t="s">
        <v>16</v>
      </c>
      <c r="C39" s="4">
        <v>0</v>
      </c>
      <c r="D39" s="4">
        <v>30</v>
      </c>
      <c r="E39" s="4">
        <v>30</v>
      </c>
      <c r="F39" s="4">
        <v>30</v>
      </c>
      <c r="G39" s="4">
        <v>30</v>
      </c>
      <c r="H39" s="4">
        <v>30</v>
      </c>
      <c r="I39" s="4">
        <v>0</v>
      </c>
      <c r="J39" s="4">
        <v>0</v>
      </c>
      <c r="K39" s="4">
        <v>30</v>
      </c>
      <c r="L39" s="4">
        <v>30</v>
      </c>
      <c r="M39" s="4">
        <v>30</v>
      </c>
      <c r="N39" s="4">
        <v>30</v>
      </c>
    </row>
    <row r="40" spans="1:14" hidden="1" x14ac:dyDescent="0.3">
      <c r="A40" s="1" t="s">
        <v>53</v>
      </c>
      <c r="B40" s="1" t="s">
        <v>14</v>
      </c>
      <c r="C40" s="2">
        <v>0</v>
      </c>
      <c r="D40" s="4">
        <v>347</v>
      </c>
      <c r="E40" s="4">
        <v>767</v>
      </c>
      <c r="F40" s="4">
        <v>652</v>
      </c>
      <c r="G40" s="4">
        <v>810</v>
      </c>
      <c r="H40" s="4">
        <v>744</v>
      </c>
      <c r="I40" s="4">
        <v>757</v>
      </c>
      <c r="J40" s="4">
        <v>564</v>
      </c>
      <c r="K40" s="4">
        <v>546</v>
      </c>
      <c r="L40" s="4">
        <v>670</v>
      </c>
      <c r="M40" s="4">
        <v>546</v>
      </c>
      <c r="N40" s="4">
        <v>802</v>
      </c>
    </row>
    <row r="41" spans="1:14" hidden="1" x14ac:dyDescent="0.3">
      <c r="A41" s="1" t="s">
        <v>54</v>
      </c>
      <c r="B41" s="1" t="s">
        <v>14</v>
      </c>
      <c r="C41" s="2">
        <v>0</v>
      </c>
      <c r="D41" s="4">
        <v>416</v>
      </c>
      <c r="E41" s="4">
        <v>540</v>
      </c>
      <c r="F41" s="4">
        <v>514</v>
      </c>
      <c r="G41" s="4">
        <v>365</v>
      </c>
      <c r="H41" s="4">
        <v>474</v>
      </c>
      <c r="I41" s="4">
        <v>292</v>
      </c>
      <c r="J41" s="4">
        <v>236</v>
      </c>
      <c r="K41" s="4">
        <v>232</v>
      </c>
      <c r="L41" s="4">
        <v>262</v>
      </c>
      <c r="M41" s="4">
        <v>330</v>
      </c>
      <c r="N41" s="4">
        <v>388</v>
      </c>
    </row>
    <row r="42" spans="1:14" hidden="1" x14ac:dyDescent="0.3">
      <c r="A42" s="1" t="s">
        <v>55</v>
      </c>
      <c r="B42" s="1" t="s">
        <v>14</v>
      </c>
      <c r="C42" s="2">
        <v>0</v>
      </c>
      <c r="D42" s="4">
        <v>30</v>
      </c>
      <c r="E42" s="4">
        <v>40</v>
      </c>
      <c r="F42" s="4">
        <v>30</v>
      </c>
      <c r="G42" s="4">
        <v>30</v>
      </c>
      <c r="H42" s="4">
        <v>30</v>
      </c>
      <c r="I42" s="4">
        <v>34</v>
      </c>
      <c r="J42" s="4">
        <v>30</v>
      </c>
      <c r="K42" s="4">
        <v>30</v>
      </c>
      <c r="L42" s="4">
        <v>30</v>
      </c>
      <c r="M42" s="4">
        <v>33</v>
      </c>
      <c r="N42" s="4">
        <v>35</v>
      </c>
    </row>
    <row r="43" spans="1:14" hidden="1" x14ac:dyDescent="0.3">
      <c r="A43" s="1" t="s">
        <v>56</v>
      </c>
      <c r="B43" s="1" t="s">
        <v>14</v>
      </c>
      <c r="C43" s="2">
        <v>0</v>
      </c>
      <c r="D43" s="4">
        <v>100</v>
      </c>
      <c r="E43" s="4">
        <v>851</v>
      </c>
      <c r="F43" s="4">
        <v>209</v>
      </c>
      <c r="G43" s="4">
        <v>607</v>
      </c>
      <c r="H43" s="4">
        <v>348</v>
      </c>
      <c r="I43" s="4">
        <v>396</v>
      </c>
      <c r="J43" s="4">
        <v>444</v>
      </c>
      <c r="K43" s="4">
        <v>493</v>
      </c>
      <c r="L43" s="4">
        <v>605</v>
      </c>
      <c r="M43" s="4">
        <v>855</v>
      </c>
      <c r="N43" s="4">
        <v>913</v>
      </c>
    </row>
    <row r="44" spans="1:14" hidden="1" x14ac:dyDescent="0.3">
      <c r="A44" s="1" t="s">
        <v>57</v>
      </c>
      <c r="B44" s="1" t="s">
        <v>14</v>
      </c>
      <c r="C44" s="2">
        <v>0</v>
      </c>
      <c r="D44" s="4">
        <v>2508</v>
      </c>
      <c r="E44" s="4">
        <v>2508</v>
      </c>
      <c r="F44" s="4">
        <v>3577</v>
      </c>
      <c r="G44" s="4">
        <v>100</v>
      </c>
      <c r="H44" s="4">
        <v>100</v>
      </c>
      <c r="I44" s="4">
        <v>100</v>
      </c>
      <c r="J44" s="4">
        <v>100</v>
      </c>
      <c r="K44" s="4">
        <v>100</v>
      </c>
      <c r="L44" s="4">
        <v>100</v>
      </c>
      <c r="M44" s="4">
        <v>100</v>
      </c>
      <c r="N44" s="4">
        <v>100</v>
      </c>
    </row>
    <row r="45" spans="1:14" hidden="1" x14ac:dyDescent="0.3">
      <c r="A45" s="1" t="s">
        <v>58</v>
      </c>
      <c r="B45" s="1" t="s">
        <v>14</v>
      </c>
      <c r="C45" s="2">
        <v>0</v>
      </c>
      <c r="D45" s="4">
        <v>137</v>
      </c>
      <c r="E45" s="4">
        <v>145</v>
      </c>
      <c r="F45" s="4">
        <v>140</v>
      </c>
      <c r="G45" s="4">
        <v>145</v>
      </c>
      <c r="H45" s="4">
        <v>147</v>
      </c>
      <c r="I45" s="4">
        <v>155</v>
      </c>
      <c r="J45" s="4">
        <v>162</v>
      </c>
      <c r="K45" s="4">
        <v>165</v>
      </c>
      <c r="L45" s="4">
        <v>145</v>
      </c>
      <c r="M45" s="4">
        <v>162</v>
      </c>
      <c r="N45" s="4">
        <v>165</v>
      </c>
    </row>
    <row r="46" spans="1:14" hidden="1" x14ac:dyDescent="0.3">
      <c r="A46" s="1" t="s">
        <v>59</v>
      </c>
      <c r="B46" s="1" t="s">
        <v>14</v>
      </c>
      <c r="C46" s="2">
        <v>0</v>
      </c>
      <c r="D46" s="4">
        <v>1030</v>
      </c>
      <c r="E46" s="4">
        <v>215</v>
      </c>
      <c r="F46" s="4">
        <v>515</v>
      </c>
      <c r="G46" s="4">
        <v>1354</v>
      </c>
      <c r="H46" s="4">
        <v>996</v>
      </c>
      <c r="I46" s="4">
        <v>1017</v>
      </c>
      <c r="J46" s="4">
        <v>788</v>
      </c>
      <c r="K46" s="4">
        <v>696</v>
      </c>
      <c r="L46" s="4">
        <v>860</v>
      </c>
      <c r="M46" s="4">
        <v>824</v>
      </c>
      <c r="N46" s="4">
        <v>1057</v>
      </c>
    </row>
    <row r="47" spans="1:14" hidden="1" x14ac:dyDescent="0.3">
      <c r="A47" s="1" t="s">
        <v>60</v>
      </c>
      <c r="B47" s="1" t="s">
        <v>14</v>
      </c>
      <c r="C47" s="2">
        <v>0</v>
      </c>
      <c r="D47" s="4">
        <v>1920</v>
      </c>
      <c r="E47" s="4">
        <v>1877</v>
      </c>
      <c r="F47" s="4">
        <v>1850</v>
      </c>
      <c r="G47" s="4">
        <v>100</v>
      </c>
      <c r="H47" s="4">
        <v>862</v>
      </c>
      <c r="I47" s="4">
        <v>1020</v>
      </c>
      <c r="J47" s="4">
        <v>1319</v>
      </c>
      <c r="K47" s="4">
        <v>1186</v>
      </c>
      <c r="L47" s="4">
        <v>1281</v>
      </c>
      <c r="M47" s="4">
        <v>1301</v>
      </c>
      <c r="N47" s="4">
        <v>1401</v>
      </c>
    </row>
    <row r="48" spans="1:14" hidden="1" x14ac:dyDescent="0.3">
      <c r="A48" s="1" t="s">
        <v>61</v>
      </c>
      <c r="B48" s="1" t="s">
        <v>14</v>
      </c>
      <c r="C48" s="2">
        <v>0</v>
      </c>
      <c r="D48" s="4">
        <v>9</v>
      </c>
      <c r="E48" s="4">
        <v>9</v>
      </c>
      <c r="F48" s="4">
        <v>9</v>
      </c>
      <c r="G48" s="4">
        <v>9</v>
      </c>
      <c r="H48" s="4">
        <v>9</v>
      </c>
      <c r="I48" s="4">
        <v>9</v>
      </c>
      <c r="J48" s="4">
        <v>9</v>
      </c>
      <c r="K48" s="4">
        <v>9</v>
      </c>
      <c r="L48" s="4">
        <v>9</v>
      </c>
      <c r="M48" s="4">
        <v>9</v>
      </c>
      <c r="N48" s="4">
        <v>9</v>
      </c>
    </row>
    <row r="49" spans="1:14" hidden="1" x14ac:dyDescent="0.3">
      <c r="A49" s="1" t="s">
        <v>62</v>
      </c>
      <c r="B49" s="1" t="s">
        <v>14</v>
      </c>
      <c r="C49" s="2">
        <v>0</v>
      </c>
      <c r="D49" s="4">
        <v>800</v>
      </c>
      <c r="E49" s="4">
        <v>1190</v>
      </c>
      <c r="F49" s="4">
        <v>1180</v>
      </c>
      <c r="G49" s="4">
        <v>1205</v>
      </c>
      <c r="H49" s="4">
        <v>1302</v>
      </c>
      <c r="I49" s="4">
        <v>1276</v>
      </c>
      <c r="J49" s="4">
        <v>1205</v>
      </c>
      <c r="K49" s="4">
        <v>1156</v>
      </c>
      <c r="L49" s="4">
        <v>1218</v>
      </c>
      <c r="M49" s="4">
        <v>1629</v>
      </c>
      <c r="N49" s="4">
        <v>1860</v>
      </c>
    </row>
    <row r="50" spans="1:14" hidden="1" x14ac:dyDescent="0.3">
      <c r="A50" s="1" t="s">
        <v>63</v>
      </c>
      <c r="B50" s="1" t="s">
        <v>14</v>
      </c>
      <c r="C50" s="2">
        <v>0</v>
      </c>
      <c r="D50" s="4">
        <v>153</v>
      </c>
      <c r="E50" s="4">
        <v>121</v>
      </c>
      <c r="F50" s="4">
        <v>265</v>
      </c>
      <c r="G50" s="4">
        <v>322</v>
      </c>
      <c r="H50" s="4">
        <v>304</v>
      </c>
      <c r="I50" s="4">
        <v>333</v>
      </c>
      <c r="J50" s="4">
        <v>290</v>
      </c>
      <c r="K50" s="4">
        <v>232</v>
      </c>
      <c r="L50" s="4">
        <v>283</v>
      </c>
      <c r="M50" s="4">
        <v>236</v>
      </c>
      <c r="N50" s="4">
        <v>285</v>
      </c>
    </row>
    <row r="51" spans="1:14" hidden="1" x14ac:dyDescent="0.3">
      <c r="A51" s="1" t="s">
        <v>64</v>
      </c>
      <c r="B51" s="1" t="s">
        <v>14</v>
      </c>
      <c r="C51" s="2">
        <v>0</v>
      </c>
      <c r="D51" s="4">
        <v>4190</v>
      </c>
      <c r="E51" s="4">
        <v>6033</v>
      </c>
      <c r="F51" s="4">
        <v>5828</v>
      </c>
      <c r="G51" s="4">
        <v>6455</v>
      </c>
      <c r="H51" s="4">
        <v>6653</v>
      </c>
      <c r="I51" s="4">
        <v>5521</v>
      </c>
      <c r="J51" s="4">
        <v>4787</v>
      </c>
      <c r="K51" s="4">
        <v>5181</v>
      </c>
      <c r="L51" s="4">
        <v>5118</v>
      </c>
      <c r="M51" s="4">
        <v>6632</v>
      </c>
      <c r="N51" s="4">
        <v>7748</v>
      </c>
    </row>
    <row r="52" spans="1:14" s="5" customFormat="1" x14ac:dyDescent="0.3">
      <c r="A52" s="3" t="s">
        <v>65</v>
      </c>
      <c r="B52" s="3" t="s">
        <v>16</v>
      </c>
      <c r="C52" s="4">
        <v>0</v>
      </c>
      <c r="D52" s="4">
        <v>30</v>
      </c>
      <c r="E52" s="4">
        <v>30</v>
      </c>
      <c r="F52" s="4">
        <v>30</v>
      </c>
      <c r="G52" s="4">
        <v>30</v>
      </c>
      <c r="H52" s="4">
        <v>30</v>
      </c>
      <c r="I52" s="4">
        <v>30</v>
      </c>
      <c r="J52" s="4">
        <v>30</v>
      </c>
      <c r="K52" s="4">
        <v>30</v>
      </c>
      <c r="L52" s="4">
        <v>30</v>
      </c>
      <c r="M52" s="4">
        <v>30</v>
      </c>
      <c r="N52" s="4">
        <v>30</v>
      </c>
    </row>
    <row r="53" spans="1:14" s="5" customFormat="1" x14ac:dyDescent="0.3">
      <c r="A53" s="3" t="s">
        <v>66</v>
      </c>
      <c r="B53" s="3" t="s">
        <v>16</v>
      </c>
      <c r="C53" s="4">
        <v>0</v>
      </c>
      <c r="D53" s="4">
        <v>30</v>
      </c>
      <c r="E53" s="4">
        <v>30</v>
      </c>
      <c r="F53" s="4">
        <v>30</v>
      </c>
      <c r="G53" s="4">
        <v>30</v>
      </c>
      <c r="H53" s="4">
        <v>30</v>
      </c>
      <c r="I53" s="4">
        <v>30</v>
      </c>
      <c r="J53" s="4">
        <v>30</v>
      </c>
      <c r="K53" s="4">
        <v>30</v>
      </c>
      <c r="L53" s="4">
        <v>30</v>
      </c>
      <c r="M53" s="4">
        <v>30</v>
      </c>
      <c r="N53" s="4">
        <v>30</v>
      </c>
    </row>
    <row r="54" spans="1:14" hidden="1" x14ac:dyDescent="0.3">
      <c r="A54" s="1" t="s">
        <v>67</v>
      </c>
      <c r="B54" s="1" t="s">
        <v>14</v>
      </c>
      <c r="C54" s="2">
        <v>0</v>
      </c>
      <c r="D54" s="4">
        <v>272</v>
      </c>
      <c r="E54" s="4">
        <v>187</v>
      </c>
      <c r="F54" s="4">
        <v>125</v>
      </c>
      <c r="G54" s="4">
        <v>100</v>
      </c>
      <c r="H54" s="4">
        <v>332</v>
      </c>
      <c r="I54" s="4">
        <v>957</v>
      </c>
      <c r="J54" s="4">
        <v>704</v>
      </c>
      <c r="K54" s="4">
        <v>645</v>
      </c>
      <c r="L54" s="4">
        <v>434</v>
      </c>
      <c r="M54" s="4">
        <v>549</v>
      </c>
      <c r="N54" s="4">
        <v>435</v>
      </c>
    </row>
    <row r="55" spans="1:14" hidden="1" x14ac:dyDescent="0.3">
      <c r="A55" s="1" t="s">
        <v>68</v>
      </c>
      <c r="B55" s="1" t="s">
        <v>14</v>
      </c>
      <c r="C55" s="2">
        <v>0</v>
      </c>
      <c r="D55" s="4">
        <v>123</v>
      </c>
      <c r="E55" s="4">
        <v>145</v>
      </c>
      <c r="F55" s="4">
        <v>191</v>
      </c>
      <c r="G55" s="4">
        <v>217</v>
      </c>
      <c r="H55" s="4">
        <v>336</v>
      </c>
      <c r="I55" s="4">
        <v>238</v>
      </c>
      <c r="J55" s="4">
        <v>160</v>
      </c>
      <c r="K55" s="4">
        <v>188</v>
      </c>
      <c r="L55" s="4">
        <v>191</v>
      </c>
      <c r="M55" s="4">
        <v>275</v>
      </c>
      <c r="N55" s="4">
        <v>345</v>
      </c>
    </row>
    <row r="56" spans="1:14" hidden="1" x14ac:dyDescent="0.3">
      <c r="A56" s="1" t="s">
        <v>69</v>
      </c>
      <c r="B56" s="1" t="s">
        <v>14</v>
      </c>
      <c r="C56" s="2">
        <v>0</v>
      </c>
      <c r="D56" s="4">
        <v>750</v>
      </c>
      <c r="E56" s="4">
        <v>777</v>
      </c>
      <c r="F56" s="4">
        <v>30</v>
      </c>
      <c r="G56" s="4">
        <v>740</v>
      </c>
      <c r="H56" s="4">
        <v>753</v>
      </c>
      <c r="I56" s="4">
        <v>671</v>
      </c>
      <c r="J56" s="4">
        <v>610</v>
      </c>
      <c r="K56" s="4">
        <v>484</v>
      </c>
      <c r="L56" s="4">
        <v>571</v>
      </c>
      <c r="M56" s="4">
        <v>526</v>
      </c>
      <c r="N56" s="4">
        <v>620</v>
      </c>
    </row>
    <row r="57" spans="1:14" hidden="1" x14ac:dyDescent="0.3">
      <c r="A57" s="1" t="s">
        <v>70</v>
      </c>
      <c r="B57" s="1" t="s">
        <v>14</v>
      </c>
      <c r="C57" s="2">
        <v>0</v>
      </c>
      <c r="D57" s="4">
        <v>90</v>
      </c>
      <c r="E57" s="4">
        <v>90</v>
      </c>
      <c r="F57" s="4">
        <v>160</v>
      </c>
      <c r="G57" s="4">
        <v>206</v>
      </c>
      <c r="H57" s="4">
        <v>213</v>
      </c>
      <c r="I57" s="4">
        <v>210</v>
      </c>
      <c r="J57" s="4">
        <v>194</v>
      </c>
      <c r="K57" s="4">
        <v>146</v>
      </c>
      <c r="L57" s="4">
        <v>144</v>
      </c>
      <c r="M57" s="4">
        <v>134</v>
      </c>
      <c r="N57" s="4">
        <v>103</v>
      </c>
    </row>
    <row r="58" spans="1:14" hidden="1" x14ac:dyDescent="0.3">
      <c r="A58" s="1" t="s">
        <v>71</v>
      </c>
      <c r="B58" s="1" t="s">
        <v>14</v>
      </c>
      <c r="C58" s="2">
        <v>0</v>
      </c>
      <c r="D58" s="4">
        <v>232</v>
      </c>
      <c r="E58" s="4">
        <v>331</v>
      </c>
      <c r="F58" s="4">
        <v>215</v>
      </c>
      <c r="G58" s="4">
        <v>457</v>
      </c>
      <c r="H58" s="4">
        <v>248</v>
      </c>
      <c r="I58" s="4">
        <v>270</v>
      </c>
      <c r="J58" s="4">
        <v>265</v>
      </c>
      <c r="K58" s="4">
        <v>280</v>
      </c>
      <c r="L58" s="4">
        <v>271</v>
      </c>
      <c r="M58" s="4">
        <v>442</v>
      </c>
      <c r="N58" s="4">
        <v>308</v>
      </c>
    </row>
    <row r="59" spans="1:14" hidden="1" x14ac:dyDescent="0.3">
      <c r="A59" s="1" t="s">
        <v>72</v>
      </c>
      <c r="B59" s="1" t="s">
        <v>14</v>
      </c>
      <c r="C59" s="2">
        <v>0</v>
      </c>
      <c r="D59" s="4">
        <v>323</v>
      </c>
      <c r="E59" s="4">
        <v>327</v>
      </c>
      <c r="F59" s="4">
        <v>314</v>
      </c>
      <c r="G59" s="4">
        <v>275</v>
      </c>
      <c r="H59" s="4">
        <v>299</v>
      </c>
      <c r="I59" s="4">
        <v>272</v>
      </c>
      <c r="J59" s="4">
        <v>278</v>
      </c>
      <c r="K59" s="4">
        <v>271</v>
      </c>
      <c r="L59" s="4">
        <v>260</v>
      </c>
      <c r="M59" s="4">
        <v>189</v>
      </c>
      <c r="N59" s="4">
        <v>168</v>
      </c>
    </row>
    <row r="60" spans="1:14" hidden="1" x14ac:dyDescent="0.3">
      <c r="A60" s="1" t="s">
        <v>73</v>
      </c>
      <c r="B60" s="1" t="s">
        <v>14</v>
      </c>
      <c r="C60" s="2">
        <v>0</v>
      </c>
      <c r="D60" s="4">
        <v>255</v>
      </c>
      <c r="E60" s="4">
        <v>240</v>
      </c>
      <c r="F60" s="4">
        <v>349</v>
      </c>
      <c r="G60" s="4">
        <v>354</v>
      </c>
      <c r="H60" s="4">
        <v>299</v>
      </c>
      <c r="I60" s="4">
        <v>308</v>
      </c>
      <c r="J60" s="4">
        <v>336</v>
      </c>
      <c r="K60" s="4">
        <v>341</v>
      </c>
      <c r="L60" s="4">
        <v>371</v>
      </c>
      <c r="M60" s="4">
        <v>418</v>
      </c>
      <c r="N60" s="4">
        <v>472</v>
      </c>
    </row>
    <row r="61" spans="1:14" hidden="1" x14ac:dyDescent="0.3">
      <c r="A61" s="1" t="s">
        <v>74</v>
      </c>
      <c r="B61" s="1" t="s">
        <v>75</v>
      </c>
      <c r="C61" s="2">
        <v>0</v>
      </c>
      <c r="D61" s="4">
        <v>30</v>
      </c>
      <c r="E61" s="4">
        <v>30</v>
      </c>
      <c r="F61" s="4">
        <v>30</v>
      </c>
      <c r="G61" s="4">
        <v>30</v>
      </c>
      <c r="H61" s="4">
        <v>30</v>
      </c>
      <c r="I61" s="4">
        <v>30</v>
      </c>
      <c r="J61" s="4">
        <v>30</v>
      </c>
      <c r="K61" s="4">
        <v>30</v>
      </c>
      <c r="L61" s="4">
        <v>30</v>
      </c>
      <c r="M61" s="4">
        <v>30</v>
      </c>
      <c r="N61" s="4">
        <v>30</v>
      </c>
    </row>
    <row r="62" spans="1:14" hidden="1" x14ac:dyDescent="0.3">
      <c r="A62" s="1" t="s">
        <v>76</v>
      </c>
      <c r="B62" s="1" t="s">
        <v>14</v>
      </c>
      <c r="C62" s="2">
        <v>0</v>
      </c>
      <c r="D62" s="4">
        <v>106</v>
      </c>
      <c r="E62" s="4">
        <v>100</v>
      </c>
      <c r="F62" s="4">
        <v>246</v>
      </c>
      <c r="G62" s="4">
        <v>355</v>
      </c>
      <c r="H62" s="4">
        <v>291</v>
      </c>
      <c r="I62" s="4">
        <v>286</v>
      </c>
      <c r="J62" s="4">
        <v>241</v>
      </c>
      <c r="K62" s="4">
        <v>197</v>
      </c>
      <c r="L62" s="4">
        <v>381</v>
      </c>
      <c r="M62" s="4">
        <v>362</v>
      </c>
      <c r="N62" s="4">
        <v>422</v>
      </c>
    </row>
    <row r="63" spans="1:14" hidden="1" x14ac:dyDescent="0.3">
      <c r="A63" s="1" t="s">
        <v>77</v>
      </c>
      <c r="B63" s="1" t="s">
        <v>75</v>
      </c>
      <c r="C63" s="2">
        <v>0</v>
      </c>
      <c r="D63" s="4">
        <v>126</v>
      </c>
      <c r="E63" s="4">
        <v>138</v>
      </c>
      <c r="F63" s="4">
        <v>156</v>
      </c>
      <c r="G63" s="4">
        <v>130</v>
      </c>
      <c r="H63" s="4">
        <v>143</v>
      </c>
      <c r="I63" s="4">
        <v>104</v>
      </c>
      <c r="J63" s="4">
        <v>138</v>
      </c>
      <c r="K63" s="4">
        <v>132</v>
      </c>
      <c r="L63" s="4">
        <v>133</v>
      </c>
      <c r="M63" s="4">
        <v>151</v>
      </c>
      <c r="N63" s="4">
        <v>163</v>
      </c>
    </row>
    <row r="64" spans="1:14" hidden="1" x14ac:dyDescent="0.3">
      <c r="A64" s="1" t="s">
        <v>78</v>
      </c>
      <c r="B64" s="1" t="s">
        <v>14</v>
      </c>
      <c r="C64" s="2">
        <v>0</v>
      </c>
      <c r="D64" s="4">
        <v>538</v>
      </c>
      <c r="E64" s="4">
        <v>928</v>
      </c>
      <c r="F64" s="4">
        <v>966</v>
      </c>
      <c r="G64" s="4">
        <v>1140</v>
      </c>
      <c r="H64" s="4">
        <v>1502</v>
      </c>
      <c r="I64" s="4">
        <v>1452</v>
      </c>
      <c r="J64" s="4">
        <v>1208</v>
      </c>
      <c r="K64" s="4">
        <v>1479</v>
      </c>
      <c r="L64" s="4">
        <v>1532</v>
      </c>
      <c r="M64" s="4">
        <v>1504</v>
      </c>
      <c r="N64" s="4">
        <v>1647</v>
      </c>
    </row>
    <row r="65" spans="1:14" hidden="1" x14ac:dyDescent="0.3">
      <c r="A65" s="1" t="s">
        <v>79</v>
      </c>
      <c r="B65" s="1" t="s">
        <v>14</v>
      </c>
      <c r="C65" s="2">
        <v>0</v>
      </c>
      <c r="D65" s="4">
        <v>244</v>
      </c>
      <c r="E65" s="4">
        <v>215</v>
      </c>
      <c r="F65" s="4">
        <v>262</v>
      </c>
      <c r="G65" s="4">
        <v>325</v>
      </c>
      <c r="H65" s="4">
        <v>313</v>
      </c>
      <c r="I65" s="4">
        <v>324</v>
      </c>
      <c r="J65" s="4">
        <v>292</v>
      </c>
      <c r="K65" s="4">
        <v>251</v>
      </c>
      <c r="L65" s="4">
        <v>302</v>
      </c>
      <c r="M65" s="4">
        <v>258</v>
      </c>
      <c r="N65" s="4">
        <v>312</v>
      </c>
    </row>
    <row r="66" spans="1:14" s="5" customFormat="1" x14ac:dyDescent="0.3">
      <c r="A66" s="3" t="s">
        <v>80</v>
      </c>
      <c r="B66" s="3" t="s">
        <v>16</v>
      </c>
      <c r="C66" s="4">
        <v>0</v>
      </c>
      <c r="D66" s="4">
        <v>554</v>
      </c>
      <c r="E66" s="4">
        <v>507</v>
      </c>
      <c r="F66" s="4">
        <v>462</v>
      </c>
      <c r="G66" s="4">
        <v>535</v>
      </c>
      <c r="H66" s="4">
        <v>408</v>
      </c>
      <c r="I66" s="4">
        <v>232</v>
      </c>
      <c r="J66" s="4">
        <v>222</v>
      </c>
      <c r="K66" s="4">
        <v>227</v>
      </c>
      <c r="L66" s="4">
        <v>224</v>
      </c>
      <c r="M66" s="4">
        <v>599</v>
      </c>
      <c r="N66" s="4">
        <v>744</v>
      </c>
    </row>
    <row r="67" spans="1:14" hidden="1" x14ac:dyDescent="0.3">
      <c r="A67" s="1" t="s">
        <v>81</v>
      </c>
      <c r="B67" s="1" t="s">
        <v>14</v>
      </c>
      <c r="C67" s="2">
        <v>0</v>
      </c>
      <c r="D67" s="4">
        <v>30</v>
      </c>
      <c r="E67" s="4">
        <v>106</v>
      </c>
      <c r="F67" s="4">
        <v>120</v>
      </c>
      <c r="G67" s="4">
        <v>114</v>
      </c>
      <c r="H67" s="4">
        <v>134</v>
      </c>
      <c r="I67" s="4">
        <v>123</v>
      </c>
      <c r="J67" s="4">
        <v>131</v>
      </c>
      <c r="K67" s="4">
        <v>125</v>
      </c>
      <c r="L67" s="4">
        <v>109</v>
      </c>
      <c r="M67" s="4">
        <v>98</v>
      </c>
      <c r="N67" s="4">
        <v>97</v>
      </c>
    </row>
    <row r="68" spans="1:14" hidden="1" x14ac:dyDescent="0.3">
      <c r="A68" s="1" t="s">
        <v>82</v>
      </c>
      <c r="B68" s="1" t="s">
        <v>14</v>
      </c>
      <c r="C68" s="2">
        <v>0</v>
      </c>
      <c r="D68" s="4">
        <v>68</v>
      </c>
      <c r="E68" s="4">
        <v>30</v>
      </c>
      <c r="F68" s="4">
        <v>51</v>
      </c>
      <c r="G68" s="4">
        <v>48</v>
      </c>
      <c r="H68" s="4">
        <v>59</v>
      </c>
      <c r="I68" s="4">
        <v>50</v>
      </c>
      <c r="J68" s="4">
        <v>73</v>
      </c>
      <c r="K68" s="4">
        <v>30</v>
      </c>
      <c r="L68" s="4">
        <v>0</v>
      </c>
      <c r="M68" s="4">
        <v>0</v>
      </c>
      <c r="N68" s="4">
        <v>0</v>
      </c>
    </row>
    <row r="69" spans="1:14" hidden="1" x14ac:dyDescent="0.3">
      <c r="A69" s="1" t="s">
        <v>83</v>
      </c>
      <c r="B69" s="1" t="s">
        <v>75</v>
      </c>
      <c r="C69" s="2">
        <v>0</v>
      </c>
      <c r="D69" s="4">
        <v>2056</v>
      </c>
      <c r="E69" s="4">
        <v>2428</v>
      </c>
      <c r="F69" s="4">
        <v>2264</v>
      </c>
      <c r="G69" s="4">
        <v>2065</v>
      </c>
      <c r="H69" s="4">
        <v>2312</v>
      </c>
      <c r="I69" s="4">
        <v>1682</v>
      </c>
      <c r="J69" s="4">
        <v>3243</v>
      </c>
      <c r="K69" s="4">
        <v>3440</v>
      </c>
      <c r="L69" s="4">
        <v>3035</v>
      </c>
      <c r="M69" s="4">
        <v>3383</v>
      </c>
      <c r="N69" s="4">
        <v>3861</v>
      </c>
    </row>
    <row r="70" spans="1:14" hidden="1" x14ac:dyDescent="0.3">
      <c r="A70" s="1" t="s">
        <v>84</v>
      </c>
      <c r="B70" s="1" t="s">
        <v>14</v>
      </c>
      <c r="C70" s="2">
        <v>0</v>
      </c>
      <c r="D70" s="4">
        <v>82</v>
      </c>
      <c r="E70" s="4">
        <v>132</v>
      </c>
      <c r="F70" s="4">
        <v>190</v>
      </c>
      <c r="G70" s="4">
        <v>194</v>
      </c>
      <c r="H70" s="4">
        <v>190</v>
      </c>
      <c r="I70" s="4">
        <v>170</v>
      </c>
      <c r="J70" s="4">
        <v>239</v>
      </c>
      <c r="K70" s="4">
        <v>193</v>
      </c>
      <c r="L70" s="4">
        <v>106</v>
      </c>
      <c r="M70" s="4">
        <v>692</v>
      </c>
      <c r="N70" s="4">
        <v>190</v>
      </c>
    </row>
    <row r="71" spans="1:14" hidden="1" x14ac:dyDescent="0.3">
      <c r="A71" s="1" t="s">
        <v>85</v>
      </c>
      <c r="B71" s="2">
        <v>0</v>
      </c>
      <c r="C71" s="2">
        <v>103</v>
      </c>
      <c r="D71" s="4">
        <v>0</v>
      </c>
      <c r="E71" s="4">
        <v>0</v>
      </c>
      <c r="F71" s="4">
        <v>0</v>
      </c>
      <c r="G71" s="4">
        <v>0</v>
      </c>
      <c r="H71" s="4">
        <v>0</v>
      </c>
      <c r="I71" s="4">
        <v>0</v>
      </c>
      <c r="J71" s="4">
        <v>0</v>
      </c>
      <c r="K71" s="4">
        <v>0</v>
      </c>
      <c r="L71" s="4">
        <v>0</v>
      </c>
      <c r="M71" s="4">
        <v>0</v>
      </c>
      <c r="N71" s="4">
        <v>0</v>
      </c>
    </row>
    <row r="72" spans="1:14" hidden="1" x14ac:dyDescent="0.3">
      <c r="A72" s="1" t="s">
        <v>86</v>
      </c>
      <c r="B72" s="1" t="s">
        <v>14</v>
      </c>
      <c r="C72" s="2">
        <v>0</v>
      </c>
      <c r="D72" s="4">
        <v>127</v>
      </c>
      <c r="E72" s="4">
        <v>118</v>
      </c>
      <c r="F72" s="4">
        <v>130</v>
      </c>
      <c r="G72" s="4">
        <v>136</v>
      </c>
      <c r="H72" s="4">
        <v>163</v>
      </c>
      <c r="I72" s="4">
        <v>101</v>
      </c>
      <c r="J72" s="4">
        <v>93</v>
      </c>
      <c r="K72" s="4">
        <v>122</v>
      </c>
      <c r="L72" s="4">
        <v>128</v>
      </c>
      <c r="M72" s="4">
        <v>122</v>
      </c>
      <c r="N72" s="4">
        <v>140</v>
      </c>
    </row>
    <row r="73" spans="1:14" hidden="1" x14ac:dyDescent="0.3">
      <c r="A73" s="1" t="s">
        <v>87</v>
      </c>
      <c r="B73" s="1" t="s">
        <v>14</v>
      </c>
      <c r="C73" s="2">
        <v>0</v>
      </c>
      <c r="D73" s="4">
        <v>700</v>
      </c>
      <c r="E73" s="4">
        <v>604</v>
      </c>
      <c r="F73" s="4">
        <v>808</v>
      </c>
      <c r="G73" s="4">
        <v>668</v>
      </c>
      <c r="H73" s="4">
        <v>737</v>
      </c>
      <c r="I73" s="4">
        <v>564</v>
      </c>
      <c r="J73" s="4">
        <v>548</v>
      </c>
      <c r="K73" s="4">
        <v>472</v>
      </c>
      <c r="L73" s="4">
        <v>534</v>
      </c>
      <c r="M73" s="4">
        <v>372</v>
      </c>
      <c r="N73" s="4">
        <v>472</v>
      </c>
    </row>
    <row r="74" spans="1:14" hidden="1" x14ac:dyDescent="0.3">
      <c r="A74" s="1" t="s">
        <v>88</v>
      </c>
      <c r="B74" s="1" t="s">
        <v>14</v>
      </c>
      <c r="C74" s="2">
        <v>0</v>
      </c>
      <c r="D74" s="4">
        <v>215</v>
      </c>
      <c r="E74" s="4">
        <v>205</v>
      </c>
      <c r="F74" s="4">
        <v>231</v>
      </c>
      <c r="G74" s="4">
        <v>247</v>
      </c>
      <c r="H74" s="4">
        <v>292</v>
      </c>
      <c r="I74" s="4">
        <v>246</v>
      </c>
      <c r="J74" s="4">
        <v>214</v>
      </c>
      <c r="K74" s="4">
        <v>187</v>
      </c>
      <c r="L74" s="4">
        <v>191</v>
      </c>
      <c r="M74" s="4">
        <v>205</v>
      </c>
      <c r="N74" s="4">
        <v>247</v>
      </c>
    </row>
    <row r="75" spans="1:14" hidden="1" x14ac:dyDescent="0.3">
      <c r="A75" s="1" t="s">
        <v>89</v>
      </c>
      <c r="B75" s="1" t="s">
        <v>14</v>
      </c>
      <c r="C75" s="2">
        <v>0</v>
      </c>
      <c r="D75" s="4">
        <v>271</v>
      </c>
      <c r="E75" s="4">
        <v>264</v>
      </c>
      <c r="F75" s="4">
        <v>289</v>
      </c>
      <c r="G75" s="4">
        <v>253</v>
      </c>
      <c r="H75" s="4">
        <v>330</v>
      </c>
      <c r="I75" s="4">
        <v>255</v>
      </c>
      <c r="J75" s="4">
        <v>269</v>
      </c>
      <c r="K75" s="4">
        <v>258</v>
      </c>
      <c r="L75" s="4">
        <v>262</v>
      </c>
      <c r="M75" s="4">
        <v>287</v>
      </c>
      <c r="N75" s="4">
        <v>293</v>
      </c>
    </row>
    <row r="76" spans="1:14" hidden="1" x14ac:dyDescent="0.3">
      <c r="A76" s="1" t="s">
        <v>90</v>
      </c>
      <c r="B76" s="1" t="s">
        <v>14</v>
      </c>
      <c r="C76" s="2">
        <v>0</v>
      </c>
      <c r="D76" s="4">
        <v>60</v>
      </c>
      <c r="E76" s="4">
        <v>69</v>
      </c>
      <c r="F76" s="4">
        <v>73</v>
      </c>
      <c r="G76" s="4">
        <v>65</v>
      </c>
      <c r="H76" s="4">
        <v>75</v>
      </c>
      <c r="I76" s="4">
        <v>69</v>
      </c>
      <c r="J76" s="4">
        <v>74</v>
      </c>
      <c r="K76" s="4">
        <v>108</v>
      </c>
      <c r="L76" s="4">
        <v>105</v>
      </c>
      <c r="M76" s="4">
        <v>96</v>
      </c>
      <c r="N76" s="4">
        <v>105</v>
      </c>
    </row>
    <row r="77" spans="1:14" hidden="1" x14ac:dyDescent="0.3">
      <c r="A77" s="1" t="s">
        <v>91</v>
      </c>
      <c r="B77" s="1" t="s">
        <v>14</v>
      </c>
      <c r="C77" s="2">
        <v>0</v>
      </c>
      <c r="D77" s="4">
        <v>30</v>
      </c>
      <c r="E77" s="4">
        <v>30</v>
      </c>
      <c r="F77" s="4">
        <v>30</v>
      </c>
      <c r="G77" s="4">
        <v>30</v>
      </c>
      <c r="H77" s="4">
        <v>30</v>
      </c>
      <c r="I77" s="4">
        <v>30</v>
      </c>
      <c r="J77" s="4">
        <v>30</v>
      </c>
      <c r="K77" s="4">
        <v>30</v>
      </c>
      <c r="L77" s="4">
        <v>30</v>
      </c>
      <c r="M77" s="4">
        <v>30</v>
      </c>
      <c r="N77" s="4">
        <v>30</v>
      </c>
    </row>
    <row r="78" spans="1:14" hidden="1" x14ac:dyDescent="0.3">
      <c r="A78" s="1" t="s">
        <v>92</v>
      </c>
      <c r="B78" s="1" t="s">
        <v>14</v>
      </c>
      <c r="C78" s="2">
        <v>0</v>
      </c>
      <c r="D78" s="4">
        <v>30</v>
      </c>
      <c r="E78" s="4">
        <v>30</v>
      </c>
      <c r="F78" s="4">
        <v>30</v>
      </c>
      <c r="G78" s="4">
        <v>30</v>
      </c>
      <c r="H78" s="4">
        <v>30</v>
      </c>
      <c r="I78" s="4">
        <v>30</v>
      </c>
      <c r="J78" s="4">
        <v>30</v>
      </c>
      <c r="K78" s="4">
        <v>30</v>
      </c>
      <c r="L78" s="4">
        <v>30</v>
      </c>
      <c r="M78" s="4">
        <v>30</v>
      </c>
      <c r="N78" s="4">
        <v>30</v>
      </c>
    </row>
    <row r="79" spans="1:14" hidden="1" x14ac:dyDescent="0.3">
      <c r="A79" s="1" t="s">
        <v>93</v>
      </c>
      <c r="B79" s="1" t="s">
        <v>14</v>
      </c>
      <c r="C79" s="2">
        <v>0</v>
      </c>
      <c r="D79" s="4">
        <v>170</v>
      </c>
      <c r="E79" s="4">
        <v>145</v>
      </c>
      <c r="F79" s="4">
        <v>177</v>
      </c>
      <c r="G79" s="4">
        <v>162</v>
      </c>
      <c r="H79" s="4">
        <v>201</v>
      </c>
      <c r="I79" s="4">
        <v>139</v>
      </c>
      <c r="J79" s="4">
        <v>165</v>
      </c>
      <c r="K79" s="4">
        <v>166</v>
      </c>
      <c r="L79" s="4">
        <v>122</v>
      </c>
      <c r="M79" s="4">
        <v>122</v>
      </c>
      <c r="N79" s="4">
        <v>146</v>
      </c>
    </row>
    <row r="80" spans="1:14" hidden="1" x14ac:dyDescent="0.3">
      <c r="A80" s="1" t="s">
        <v>94</v>
      </c>
      <c r="B80" s="1" t="s">
        <v>14</v>
      </c>
      <c r="C80" s="2">
        <v>0</v>
      </c>
      <c r="D80" s="4">
        <v>30</v>
      </c>
      <c r="E80" s="4">
        <v>33</v>
      </c>
      <c r="F80" s="4">
        <v>30</v>
      </c>
      <c r="G80" s="4">
        <v>134</v>
      </c>
      <c r="H80" s="4">
        <v>70</v>
      </c>
      <c r="I80" s="4">
        <v>73</v>
      </c>
      <c r="J80" s="4">
        <v>45</v>
      </c>
      <c r="K80" s="4">
        <v>53</v>
      </c>
      <c r="L80" s="4">
        <v>36</v>
      </c>
      <c r="M80" s="4">
        <v>109</v>
      </c>
      <c r="N80" s="4">
        <v>36</v>
      </c>
    </row>
    <row r="81" spans="1:14" hidden="1" x14ac:dyDescent="0.3">
      <c r="A81" s="1" t="s">
        <v>95</v>
      </c>
      <c r="B81" s="1" t="s">
        <v>75</v>
      </c>
      <c r="C81" s="2">
        <v>0</v>
      </c>
      <c r="D81" s="4">
        <v>1443</v>
      </c>
      <c r="E81" s="4">
        <v>1635</v>
      </c>
      <c r="F81" s="4">
        <v>1470</v>
      </c>
      <c r="G81" s="4">
        <v>1464</v>
      </c>
      <c r="H81" s="4">
        <v>1628</v>
      </c>
      <c r="I81" s="4">
        <v>1746</v>
      </c>
      <c r="J81" s="4">
        <v>1797</v>
      </c>
      <c r="K81" s="4">
        <v>1974</v>
      </c>
      <c r="L81" s="4">
        <v>1787</v>
      </c>
      <c r="M81" s="4">
        <v>1750</v>
      </c>
      <c r="N81" s="4">
        <v>1718</v>
      </c>
    </row>
    <row r="82" spans="1:14" hidden="1" x14ac:dyDescent="0.3">
      <c r="A82" s="1" t="s">
        <v>96</v>
      </c>
      <c r="B82" s="1" t="s">
        <v>14</v>
      </c>
      <c r="C82" s="2">
        <v>0</v>
      </c>
      <c r="D82" s="4">
        <v>100</v>
      </c>
      <c r="E82" s="4">
        <v>176</v>
      </c>
      <c r="F82" s="4">
        <v>190</v>
      </c>
      <c r="G82" s="4">
        <v>185</v>
      </c>
      <c r="H82" s="4">
        <v>168</v>
      </c>
      <c r="I82" s="4">
        <v>228</v>
      </c>
      <c r="J82" s="4">
        <v>171</v>
      </c>
      <c r="K82" s="4">
        <v>244</v>
      </c>
      <c r="L82" s="4">
        <v>236</v>
      </c>
      <c r="M82" s="4">
        <v>258</v>
      </c>
      <c r="N82" s="4">
        <v>381</v>
      </c>
    </row>
    <row r="83" spans="1:14" hidden="1" x14ac:dyDescent="0.3">
      <c r="A83" s="1" t="s">
        <v>97</v>
      </c>
      <c r="B83" s="1" t="s">
        <v>14</v>
      </c>
      <c r="C83" s="2">
        <v>0</v>
      </c>
      <c r="D83" s="4">
        <v>33</v>
      </c>
      <c r="E83" s="4">
        <v>35</v>
      </c>
      <c r="F83" s="4">
        <v>72</v>
      </c>
      <c r="G83" s="4">
        <v>76</v>
      </c>
      <c r="H83" s="4">
        <v>75</v>
      </c>
      <c r="I83" s="4">
        <v>30</v>
      </c>
      <c r="J83" s="4">
        <v>32</v>
      </c>
      <c r="K83" s="4">
        <v>30</v>
      </c>
      <c r="L83" s="4">
        <v>39</v>
      </c>
      <c r="M83" s="4">
        <v>39</v>
      </c>
      <c r="N83" s="4">
        <v>43</v>
      </c>
    </row>
    <row r="84" spans="1:14" hidden="1" x14ac:dyDescent="0.3">
      <c r="A84" s="1" t="s">
        <v>98</v>
      </c>
      <c r="B84" s="1" t="s">
        <v>14</v>
      </c>
      <c r="C84" s="2">
        <v>0</v>
      </c>
      <c r="D84" s="4">
        <v>73</v>
      </c>
      <c r="E84" s="4">
        <v>71</v>
      </c>
      <c r="F84" s="4">
        <v>59</v>
      </c>
      <c r="G84" s="4">
        <v>69</v>
      </c>
      <c r="H84" s="4">
        <v>86</v>
      </c>
      <c r="I84" s="4">
        <v>96</v>
      </c>
      <c r="J84" s="4">
        <v>94</v>
      </c>
      <c r="K84" s="4">
        <v>130</v>
      </c>
      <c r="L84" s="4">
        <v>115</v>
      </c>
      <c r="M84" s="4">
        <v>123</v>
      </c>
      <c r="N84" s="4">
        <v>128</v>
      </c>
    </row>
    <row r="85" spans="1:14" hidden="1" x14ac:dyDescent="0.3">
      <c r="A85" s="1" t="s">
        <v>99</v>
      </c>
      <c r="B85" s="1" t="s">
        <v>14</v>
      </c>
      <c r="C85" s="2">
        <v>0</v>
      </c>
      <c r="D85" s="4">
        <v>96</v>
      </c>
      <c r="E85" s="4">
        <v>78</v>
      </c>
      <c r="F85" s="4">
        <v>128</v>
      </c>
      <c r="G85" s="4">
        <v>137</v>
      </c>
      <c r="H85" s="4">
        <v>135</v>
      </c>
      <c r="I85" s="4">
        <v>157</v>
      </c>
      <c r="J85" s="4">
        <v>138</v>
      </c>
      <c r="K85" s="4">
        <v>145</v>
      </c>
      <c r="L85" s="4">
        <v>158</v>
      </c>
      <c r="M85" s="4">
        <v>162</v>
      </c>
      <c r="N85" s="4">
        <v>166</v>
      </c>
    </row>
    <row r="86" spans="1:14" hidden="1" x14ac:dyDescent="0.3">
      <c r="A86" s="1" t="s">
        <v>100</v>
      </c>
      <c r="B86" s="1" t="s">
        <v>14</v>
      </c>
      <c r="C86" s="2">
        <v>0</v>
      </c>
      <c r="D86" s="4">
        <v>821</v>
      </c>
      <c r="E86" s="4">
        <v>1088</v>
      </c>
      <c r="F86" s="4">
        <v>993</v>
      </c>
      <c r="G86" s="4">
        <v>801</v>
      </c>
      <c r="H86" s="4">
        <v>828</v>
      </c>
      <c r="I86" s="4">
        <v>896</v>
      </c>
      <c r="J86" s="4">
        <v>757</v>
      </c>
      <c r="K86" s="4">
        <v>637</v>
      </c>
      <c r="L86" s="4">
        <v>446</v>
      </c>
      <c r="M86" s="4">
        <v>553</v>
      </c>
      <c r="N86" s="4">
        <v>516</v>
      </c>
    </row>
    <row r="87" spans="1:14" hidden="1" x14ac:dyDescent="0.3">
      <c r="A87" s="1" t="s">
        <v>101</v>
      </c>
      <c r="B87" s="1" t="s">
        <v>14</v>
      </c>
      <c r="C87" s="2">
        <v>0</v>
      </c>
      <c r="D87" s="4">
        <v>30</v>
      </c>
      <c r="E87" s="4">
        <v>30</v>
      </c>
      <c r="F87" s="4">
        <v>30</v>
      </c>
      <c r="G87" s="4">
        <v>30</v>
      </c>
      <c r="H87" s="4">
        <v>30</v>
      </c>
      <c r="I87" s="4">
        <v>30</v>
      </c>
      <c r="J87" s="4">
        <v>30</v>
      </c>
      <c r="K87" s="4">
        <v>30</v>
      </c>
      <c r="L87" s="4">
        <v>30</v>
      </c>
      <c r="M87" s="4">
        <v>30</v>
      </c>
      <c r="N87" s="4">
        <v>30</v>
      </c>
    </row>
    <row r="88" spans="1:14" hidden="1" x14ac:dyDescent="0.3">
      <c r="A88" s="1" t="s">
        <v>102</v>
      </c>
      <c r="B88" s="1" t="s">
        <v>14</v>
      </c>
      <c r="C88" s="2">
        <v>0</v>
      </c>
      <c r="D88" s="4">
        <v>30</v>
      </c>
      <c r="E88" s="4">
        <v>30</v>
      </c>
      <c r="F88" s="4">
        <v>30</v>
      </c>
      <c r="G88" s="4">
        <v>30</v>
      </c>
      <c r="H88" s="4">
        <v>30</v>
      </c>
      <c r="I88" s="4">
        <v>30</v>
      </c>
      <c r="J88" s="4">
        <v>30</v>
      </c>
      <c r="K88" s="4">
        <v>30</v>
      </c>
      <c r="L88" s="4">
        <v>30</v>
      </c>
      <c r="M88" s="4">
        <v>30</v>
      </c>
      <c r="N88" s="4">
        <v>30</v>
      </c>
    </row>
    <row r="89" spans="1:14" hidden="1" x14ac:dyDescent="0.3">
      <c r="A89" s="1" t="s">
        <v>103</v>
      </c>
      <c r="B89" s="1" t="s">
        <v>14</v>
      </c>
      <c r="C89" s="2">
        <v>0</v>
      </c>
      <c r="D89" s="4">
        <v>258</v>
      </c>
      <c r="E89" s="4">
        <v>340</v>
      </c>
      <c r="F89" s="4">
        <v>343</v>
      </c>
      <c r="G89" s="4">
        <v>288</v>
      </c>
      <c r="H89" s="4">
        <v>320</v>
      </c>
      <c r="I89" s="4">
        <v>277</v>
      </c>
      <c r="J89" s="4">
        <v>279</v>
      </c>
      <c r="K89" s="4">
        <v>267</v>
      </c>
      <c r="L89" s="4">
        <v>302</v>
      </c>
      <c r="M89" s="4">
        <v>328</v>
      </c>
      <c r="N89" s="4">
        <v>436</v>
      </c>
    </row>
    <row r="90" spans="1:14" hidden="1" x14ac:dyDescent="0.3">
      <c r="A90" s="1" t="s">
        <v>104</v>
      </c>
      <c r="B90" s="1" t="s">
        <v>14</v>
      </c>
      <c r="C90" s="2">
        <v>0</v>
      </c>
      <c r="D90" s="4">
        <v>30</v>
      </c>
      <c r="E90" s="4">
        <v>30</v>
      </c>
      <c r="F90" s="4">
        <v>30</v>
      </c>
      <c r="G90" s="4">
        <v>30</v>
      </c>
      <c r="H90" s="4">
        <v>30</v>
      </c>
      <c r="I90" s="4">
        <v>30</v>
      </c>
      <c r="J90" s="4">
        <v>30</v>
      </c>
      <c r="K90" s="4">
        <v>30</v>
      </c>
      <c r="L90" s="4">
        <v>30</v>
      </c>
      <c r="M90" s="4">
        <v>30</v>
      </c>
      <c r="N90" s="4">
        <v>30</v>
      </c>
    </row>
    <row r="91" spans="1:14" hidden="1" x14ac:dyDescent="0.3">
      <c r="A91" s="1" t="s">
        <v>105</v>
      </c>
      <c r="B91" s="1" t="s">
        <v>14</v>
      </c>
      <c r="C91" s="2">
        <v>0</v>
      </c>
      <c r="D91" s="4">
        <v>1417</v>
      </c>
      <c r="E91" s="4">
        <v>1452</v>
      </c>
      <c r="F91" s="4">
        <v>1421</v>
      </c>
      <c r="G91" s="4">
        <v>1158</v>
      </c>
      <c r="H91" s="4">
        <v>1360</v>
      </c>
      <c r="I91" s="4">
        <v>1099</v>
      </c>
      <c r="J91" s="4">
        <v>1066</v>
      </c>
      <c r="K91" s="4">
        <v>1146</v>
      </c>
      <c r="L91" s="4">
        <v>996</v>
      </c>
      <c r="M91" s="4">
        <v>1152</v>
      </c>
      <c r="N91" s="4">
        <v>1384</v>
      </c>
    </row>
    <row r="92" spans="1:14" hidden="1" x14ac:dyDescent="0.3">
      <c r="A92" s="1" t="s">
        <v>106</v>
      </c>
      <c r="B92" s="1" t="s">
        <v>14</v>
      </c>
      <c r="C92" s="2">
        <v>0</v>
      </c>
      <c r="D92" s="4">
        <v>42</v>
      </c>
      <c r="E92" s="4">
        <v>41</v>
      </c>
      <c r="F92" s="4">
        <v>115</v>
      </c>
      <c r="G92" s="4">
        <v>112</v>
      </c>
      <c r="H92" s="4">
        <v>77</v>
      </c>
      <c r="I92" s="4">
        <v>54</v>
      </c>
      <c r="J92" s="4">
        <v>52</v>
      </c>
      <c r="K92" s="4">
        <v>52</v>
      </c>
      <c r="L92" s="4">
        <v>60</v>
      </c>
      <c r="M92" s="4">
        <v>54</v>
      </c>
      <c r="N92" s="4">
        <v>66</v>
      </c>
    </row>
    <row r="93" spans="1:14" hidden="1" x14ac:dyDescent="0.3">
      <c r="A93" s="1" t="s">
        <v>107</v>
      </c>
      <c r="B93" s="1" t="s">
        <v>14</v>
      </c>
      <c r="C93" s="2">
        <v>0</v>
      </c>
      <c r="D93" s="4">
        <v>75</v>
      </c>
      <c r="E93" s="4">
        <v>78</v>
      </c>
      <c r="F93" s="4">
        <v>78</v>
      </c>
      <c r="G93" s="4">
        <v>65</v>
      </c>
      <c r="H93" s="4">
        <v>66</v>
      </c>
      <c r="I93" s="4">
        <v>82</v>
      </c>
      <c r="J93" s="4">
        <v>68</v>
      </c>
      <c r="K93" s="4">
        <v>48</v>
      </c>
      <c r="L93" s="4">
        <v>77</v>
      </c>
      <c r="M93" s="4">
        <v>106</v>
      </c>
      <c r="N93" s="4">
        <v>133</v>
      </c>
    </row>
    <row r="94" spans="1:14" hidden="1" x14ac:dyDescent="0.3">
      <c r="A94" s="1" t="s">
        <v>108</v>
      </c>
      <c r="B94" s="1" t="s">
        <v>14</v>
      </c>
      <c r="C94" s="2">
        <v>0</v>
      </c>
      <c r="D94" s="4">
        <v>108</v>
      </c>
      <c r="E94" s="4">
        <v>111</v>
      </c>
      <c r="F94" s="4">
        <v>172</v>
      </c>
      <c r="G94" s="4">
        <v>185</v>
      </c>
      <c r="H94" s="4">
        <v>181</v>
      </c>
      <c r="I94" s="4">
        <v>175</v>
      </c>
      <c r="J94" s="4">
        <v>158</v>
      </c>
      <c r="K94" s="4">
        <v>169</v>
      </c>
      <c r="L94" s="4">
        <v>167</v>
      </c>
      <c r="M94" s="4">
        <v>177</v>
      </c>
      <c r="N94" s="4">
        <v>199</v>
      </c>
    </row>
    <row r="95" spans="1:14" hidden="1" x14ac:dyDescent="0.3">
      <c r="A95" s="1" t="s">
        <v>109</v>
      </c>
      <c r="B95" s="1" t="s">
        <v>14</v>
      </c>
      <c r="C95" s="2">
        <v>0</v>
      </c>
      <c r="D95" s="4">
        <v>110</v>
      </c>
      <c r="E95" s="4">
        <v>230</v>
      </c>
      <c r="F95" s="4">
        <v>226</v>
      </c>
      <c r="G95" s="4">
        <v>262</v>
      </c>
      <c r="H95" s="4">
        <v>241</v>
      </c>
      <c r="I95" s="4">
        <v>212</v>
      </c>
      <c r="J95" s="4">
        <v>150</v>
      </c>
      <c r="K95" s="4">
        <v>190</v>
      </c>
      <c r="L95" s="4">
        <v>176</v>
      </c>
      <c r="M95" s="4">
        <v>208</v>
      </c>
      <c r="N95" s="4">
        <v>336</v>
      </c>
    </row>
    <row r="96" spans="1:14" hidden="1" x14ac:dyDescent="0.3">
      <c r="A96" s="1" t="s">
        <v>110</v>
      </c>
      <c r="B96" s="1" t="s">
        <v>75</v>
      </c>
      <c r="C96" s="2">
        <v>0</v>
      </c>
      <c r="D96" s="4">
        <v>1025</v>
      </c>
      <c r="E96" s="4">
        <v>1162</v>
      </c>
      <c r="F96" s="4">
        <v>1105</v>
      </c>
      <c r="G96" s="4">
        <v>1020</v>
      </c>
      <c r="H96" s="4">
        <v>1151</v>
      </c>
      <c r="I96" s="4">
        <v>1023</v>
      </c>
      <c r="J96" s="4">
        <v>1008</v>
      </c>
      <c r="K96" s="4">
        <v>1237</v>
      </c>
      <c r="L96" s="4">
        <v>1133</v>
      </c>
      <c r="M96" s="4">
        <v>822</v>
      </c>
      <c r="N96" s="4">
        <v>755</v>
      </c>
    </row>
    <row r="97" spans="1:14" hidden="1" x14ac:dyDescent="0.3">
      <c r="A97" s="1" t="s">
        <v>111</v>
      </c>
      <c r="B97" s="1" t="s">
        <v>14</v>
      </c>
      <c r="C97" s="2">
        <v>0</v>
      </c>
      <c r="D97" s="4">
        <v>96</v>
      </c>
      <c r="E97" s="4">
        <v>189</v>
      </c>
      <c r="F97" s="4">
        <v>187</v>
      </c>
      <c r="G97" s="4">
        <v>200</v>
      </c>
      <c r="H97" s="4">
        <v>196</v>
      </c>
      <c r="I97" s="4">
        <v>225</v>
      </c>
      <c r="J97" s="4">
        <v>201</v>
      </c>
      <c r="K97" s="4">
        <v>147</v>
      </c>
      <c r="L97" s="4">
        <v>151</v>
      </c>
      <c r="M97" s="4">
        <v>162</v>
      </c>
      <c r="N97" s="4">
        <v>75</v>
      </c>
    </row>
    <row r="98" spans="1:14" hidden="1" x14ac:dyDescent="0.3">
      <c r="A98" s="1" t="s">
        <v>112</v>
      </c>
      <c r="B98" s="1" t="s">
        <v>14</v>
      </c>
      <c r="C98" s="2">
        <v>0</v>
      </c>
      <c r="D98" s="4">
        <v>30</v>
      </c>
      <c r="E98" s="4">
        <v>30</v>
      </c>
      <c r="F98" s="4">
        <v>30</v>
      </c>
      <c r="G98" s="4">
        <v>30</v>
      </c>
      <c r="H98" s="4">
        <v>30</v>
      </c>
      <c r="I98" s="4">
        <v>30</v>
      </c>
      <c r="J98" s="4">
        <v>30</v>
      </c>
      <c r="K98" s="4">
        <v>30</v>
      </c>
      <c r="L98" s="4">
        <v>30</v>
      </c>
      <c r="M98" s="4">
        <v>30</v>
      </c>
      <c r="N98" s="4">
        <v>30</v>
      </c>
    </row>
    <row r="99" spans="1:14" s="5" customFormat="1" x14ac:dyDescent="0.3">
      <c r="A99" s="3" t="s">
        <v>113</v>
      </c>
      <c r="B99" s="3" t="s">
        <v>16</v>
      </c>
      <c r="C99" s="4">
        <v>0</v>
      </c>
      <c r="D99" s="4">
        <v>285954</v>
      </c>
      <c r="E99" s="4">
        <v>258183</v>
      </c>
      <c r="F99" s="4">
        <v>285892</v>
      </c>
      <c r="G99" s="4">
        <v>276647</v>
      </c>
      <c r="H99" s="4">
        <v>285917</v>
      </c>
      <c r="I99" s="4">
        <v>276652</v>
      </c>
      <c r="J99" s="4">
        <v>285762</v>
      </c>
      <c r="K99" s="4">
        <v>285946</v>
      </c>
      <c r="L99" s="4">
        <v>276640</v>
      </c>
      <c r="M99" s="4">
        <v>276620</v>
      </c>
      <c r="N99" s="4">
        <v>285748</v>
      </c>
    </row>
    <row r="100" spans="1:14" hidden="1" x14ac:dyDescent="0.3">
      <c r="A100" s="1" t="s">
        <v>114</v>
      </c>
      <c r="B100" s="1" t="s">
        <v>14</v>
      </c>
      <c r="C100" s="2">
        <v>0</v>
      </c>
      <c r="D100" s="4">
        <v>93</v>
      </c>
      <c r="E100" s="4">
        <v>89</v>
      </c>
      <c r="F100" s="4">
        <v>150</v>
      </c>
      <c r="G100" s="4">
        <v>178</v>
      </c>
      <c r="H100" s="4">
        <v>163</v>
      </c>
      <c r="I100" s="4">
        <v>156</v>
      </c>
      <c r="J100" s="4">
        <v>143</v>
      </c>
      <c r="K100" s="4">
        <v>131</v>
      </c>
      <c r="L100" s="4">
        <v>153</v>
      </c>
      <c r="M100" s="4">
        <v>167</v>
      </c>
      <c r="N100" s="4">
        <v>186</v>
      </c>
    </row>
    <row r="101" spans="1:14" hidden="1" x14ac:dyDescent="0.3">
      <c r="A101" s="1" t="s">
        <v>115</v>
      </c>
      <c r="B101" s="1" t="s">
        <v>14</v>
      </c>
      <c r="C101" s="2">
        <v>0</v>
      </c>
      <c r="D101" s="4">
        <v>142</v>
      </c>
      <c r="E101" s="4">
        <v>254</v>
      </c>
      <c r="F101" s="4">
        <v>266</v>
      </c>
      <c r="G101" s="4">
        <v>388</v>
      </c>
      <c r="H101" s="4">
        <v>432</v>
      </c>
      <c r="I101" s="4">
        <v>343</v>
      </c>
      <c r="J101" s="4">
        <v>263</v>
      </c>
      <c r="K101" s="4">
        <v>292</v>
      </c>
      <c r="L101" s="4">
        <v>368</v>
      </c>
      <c r="M101" s="4">
        <v>455</v>
      </c>
      <c r="N101" s="4">
        <v>646</v>
      </c>
    </row>
    <row r="102" spans="1:14" hidden="1" x14ac:dyDescent="0.3">
      <c r="A102" s="1" t="s">
        <v>116</v>
      </c>
      <c r="B102" s="1" t="s">
        <v>14</v>
      </c>
      <c r="C102" s="2">
        <v>0</v>
      </c>
      <c r="D102" s="4">
        <v>43</v>
      </c>
      <c r="E102" s="4">
        <v>51</v>
      </c>
      <c r="F102" s="4">
        <v>48</v>
      </c>
      <c r="G102" s="4">
        <v>43</v>
      </c>
      <c r="H102" s="4">
        <v>30</v>
      </c>
      <c r="I102" s="4">
        <v>30</v>
      </c>
      <c r="J102" s="4">
        <v>30</v>
      </c>
      <c r="K102" s="4">
        <v>30</v>
      </c>
      <c r="L102" s="4">
        <v>30</v>
      </c>
      <c r="M102" s="4">
        <v>30</v>
      </c>
      <c r="N102" s="4">
        <v>30</v>
      </c>
    </row>
    <row r="103" spans="1:14" hidden="1" x14ac:dyDescent="0.3">
      <c r="A103" s="1" t="s">
        <v>117</v>
      </c>
      <c r="B103" s="1" t="s">
        <v>14</v>
      </c>
      <c r="C103" s="2">
        <v>0</v>
      </c>
      <c r="D103" s="4">
        <v>178</v>
      </c>
      <c r="E103" s="4">
        <v>267</v>
      </c>
      <c r="F103" s="4">
        <v>327</v>
      </c>
      <c r="G103" s="4">
        <v>162</v>
      </c>
      <c r="H103" s="4">
        <v>333</v>
      </c>
      <c r="I103" s="4">
        <v>156</v>
      </c>
      <c r="J103" s="4">
        <v>244</v>
      </c>
      <c r="K103" s="4">
        <v>167</v>
      </c>
      <c r="L103" s="4">
        <v>166</v>
      </c>
      <c r="M103" s="4">
        <v>1140</v>
      </c>
      <c r="N103" s="4">
        <v>1357</v>
      </c>
    </row>
    <row r="104" spans="1:14" hidden="1" x14ac:dyDescent="0.3">
      <c r="A104" s="1" t="s">
        <v>118</v>
      </c>
      <c r="B104" s="1" t="s">
        <v>14</v>
      </c>
      <c r="C104" s="2">
        <v>0</v>
      </c>
      <c r="D104" s="4">
        <v>30</v>
      </c>
      <c r="E104" s="4">
        <v>30</v>
      </c>
      <c r="F104" s="4">
        <v>30</v>
      </c>
      <c r="G104" s="4">
        <v>30</v>
      </c>
      <c r="H104" s="4">
        <v>30</v>
      </c>
      <c r="I104" s="4">
        <v>30</v>
      </c>
      <c r="J104" s="4">
        <v>30</v>
      </c>
      <c r="K104" s="4">
        <v>30</v>
      </c>
      <c r="L104" s="4">
        <v>30</v>
      </c>
      <c r="M104" s="4">
        <v>30</v>
      </c>
      <c r="N104" s="4">
        <v>30</v>
      </c>
    </row>
    <row r="105" spans="1:14" hidden="1" x14ac:dyDescent="0.3">
      <c r="A105" s="1" t="s">
        <v>119</v>
      </c>
      <c r="B105" s="1" t="s">
        <v>14</v>
      </c>
      <c r="C105" s="2">
        <v>0</v>
      </c>
      <c r="D105" s="4">
        <v>62</v>
      </c>
      <c r="E105" s="4">
        <v>65</v>
      </c>
      <c r="F105" s="4">
        <v>75</v>
      </c>
      <c r="G105" s="4">
        <v>30</v>
      </c>
      <c r="H105" s="4">
        <v>30</v>
      </c>
      <c r="I105" s="4">
        <v>30</v>
      </c>
      <c r="J105" s="4">
        <v>30</v>
      </c>
      <c r="K105" s="4">
        <v>30</v>
      </c>
      <c r="L105" s="4">
        <v>30</v>
      </c>
      <c r="M105" s="4">
        <v>30</v>
      </c>
      <c r="N105" s="4">
        <v>30</v>
      </c>
    </row>
    <row r="106" spans="1:14" hidden="1" x14ac:dyDescent="0.3">
      <c r="A106" s="1" t="s">
        <v>120</v>
      </c>
      <c r="B106" s="1" t="s">
        <v>14</v>
      </c>
      <c r="C106" s="2">
        <v>0</v>
      </c>
      <c r="D106" s="4">
        <v>195</v>
      </c>
      <c r="E106" s="4">
        <v>235</v>
      </c>
      <c r="F106" s="4">
        <v>304</v>
      </c>
      <c r="G106" s="4">
        <v>186</v>
      </c>
      <c r="H106" s="4">
        <v>343</v>
      </c>
      <c r="I106" s="4">
        <v>227</v>
      </c>
      <c r="J106" s="4">
        <v>221</v>
      </c>
      <c r="K106" s="4">
        <v>237</v>
      </c>
      <c r="L106" s="4">
        <v>195</v>
      </c>
      <c r="M106" s="4">
        <v>274</v>
      </c>
      <c r="N106" s="4">
        <v>299</v>
      </c>
    </row>
    <row r="107" spans="1:14" hidden="1" x14ac:dyDescent="0.3">
      <c r="A107" s="1" t="s">
        <v>121</v>
      </c>
      <c r="B107" s="1" t="s">
        <v>14</v>
      </c>
      <c r="C107" s="2">
        <v>0</v>
      </c>
      <c r="D107" s="4">
        <v>0</v>
      </c>
      <c r="E107" s="4">
        <v>0</v>
      </c>
      <c r="F107" s="4">
        <v>0</v>
      </c>
      <c r="G107" s="4">
        <v>134</v>
      </c>
      <c r="H107" s="4">
        <v>30</v>
      </c>
      <c r="I107" s="4">
        <v>0</v>
      </c>
      <c r="J107" s="4">
        <v>0</v>
      </c>
      <c r="K107" s="4">
        <v>0</v>
      </c>
      <c r="L107" s="4">
        <v>0</v>
      </c>
      <c r="M107" s="4">
        <v>0</v>
      </c>
      <c r="N107" s="4">
        <v>0</v>
      </c>
    </row>
    <row r="108" spans="1:14" s="5" customFormat="1" x14ac:dyDescent="0.3">
      <c r="A108" s="3" t="s">
        <v>122</v>
      </c>
      <c r="B108" s="3" t="s">
        <v>16</v>
      </c>
      <c r="C108" s="4">
        <v>0</v>
      </c>
      <c r="D108" s="4">
        <v>30</v>
      </c>
      <c r="E108" s="4">
        <v>30</v>
      </c>
      <c r="F108" s="4">
        <v>30</v>
      </c>
      <c r="G108" s="4">
        <v>30</v>
      </c>
      <c r="H108" s="4">
        <v>30</v>
      </c>
      <c r="I108" s="4">
        <v>30</v>
      </c>
      <c r="J108" s="4">
        <v>30</v>
      </c>
      <c r="K108" s="4">
        <v>30</v>
      </c>
      <c r="L108" s="4">
        <v>30</v>
      </c>
      <c r="M108" s="4">
        <v>30</v>
      </c>
      <c r="N108" s="4">
        <v>30</v>
      </c>
    </row>
    <row r="109" spans="1:14" s="5" customFormat="1" x14ac:dyDescent="0.3">
      <c r="A109" s="3" t="s">
        <v>123</v>
      </c>
      <c r="B109" s="3" t="s">
        <v>16</v>
      </c>
      <c r="C109" s="4">
        <v>0</v>
      </c>
      <c r="D109" s="4">
        <v>30</v>
      </c>
      <c r="E109" s="4">
        <v>30</v>
      </c>
      <c r="F109" s="4">
        <v>30</v>
      </c>
      <c r="G109" s="4">
        <v>30</v>
      </c>
      <c r="H109" s="4">
        <v>30</v>
      </c>
      <c r="I109" s="4">
        <v>30</v>
      </c>
      <c r="J109" s="4">
        <v>30</v>
      </c>
      <c r="K109" s="4">
        <v>30</v>
      </c>
      <c r="L109" s="4">
        <v>30</v>
      </c>
      <c r="M109" s="4">
        <v>30</v>
      </c>
      <c r="N109" s="4">
        <v>30</v>
      </c>
    </row>
    <row r="110" spans="1:14" s="5" customFormat="1" x14ac:dyDescent="0.3">
      <c r="A110" s="3" t="s">
        <v>124</v>
      </c>
      <c r="B110" s="3" t="s">
        <v>16</v>
      </c>
      <c r="C110" s="4">
        <v>0</v>
      </c>
      <c r="D110" s="4">
        <v>9</v>
      </c>
      <c r="E110" s="4">
        <v>9</v>
      </c>
      <c r="F110" s="4">
        <v>9</v>
      </c>
      <c r="G110" s="4">
        <v>9</v>
      </c>
      <c r="H110" s="4">
        <v>9</v>
      </c>
      <c r="I110" s="4">
        <v>9</v>
      </c>
      <c r="J110" s="4">
        <v>9</v>
      </c>
      <c r="K110" s="4">
        <v>9</v>
      </c>
      <c r="L110" s="4">
        <v>9</v>
      </c>
      <c r="M110" s="4">
        <v>9</v>
      </c>
      <c r="N110" s="4">
        <v>9</v>
      </c>
    </row>
    <row r="111" spans="1:14" s="5" customFormat="1" x14ac:dyDescent="0.3">
      <c r="A111" s="3" t="s">
        <v>125</v>
      </c>
      <c r="B111" s="3" t="s">
        <v>16</v>
      </c>
      <c r="C111" s="4">
        <v>0</v>
      </c>
      <c r="D111" s="4">
        <v>9</v>
      </c>
      <c r="E111" s="4">
        <v>9</v>
      </c>
      <c r="F111" s="4">
        <v>9</v>
      </c>
      <c r="G111" s="4">
        <v>9</v>
      </c>
      <c r="H111" s="4">
        <v>9</v>
      </c>
      <c r="I111" s="4">
        <v>9</v>
      </c>
      <c r="J111" s="4">
        <v>9</v>
      </c>
      <c r="K111" s="4">
        <v>9</v>
      </c>
      <c r="L111" s="4">
        <v>9</v>
      </c>
      <c r="M111" s="4">
        <v>9</v>
      </c>
      <c r="N111" s="4">
        <v>9</v>
      </c>
    </row>
    <row r="112" spans="1:14" s="5" customFormat="1" x14ac:dyDescent="0.3">
      <c r="A112" s="3" t="s">
        <v>126</v>
      </c>
      <c r="B112" s="3" t="s">
        <v>16</v>
      </c>
      <c r="C112" s="4">
        <v>0</v>
      </c>
      <c r="D112" s="4">
        <v>30</v>
      </c>
      <c r="E112" s="4">
        <v>30</v>
      </c>
      <c r="F112" s="4">
        <v>30</v>
      </c>
      <c r="G112" s="4">
        <v>30</v>
      </c>
      <c r="H112" s="4">
        <v>30</v>
      </c>
      <c r="I112" s="4">
        <v>30</v>
      </c>
      <c r="J112" s="4">
        <v>30</v>
      </c>
      <c r="K112" s="4">
        <v>30</v>
      </c>
      <c r="L112" s="4">
        <v>30</v>
      </c>
      <c r="M112" s="4">
        <v>30</v>
      </c>
      <c r="N112" s="4">
        <v>30</v>
      </c>
    </row>
    <row r="113" spans="1:14" hidden="1" x14ac:dyDescent="0.3">
      <c r="A113" s="1" t="s">
        <v>127</v>
      </c>
      <c r="B113" s="1" t="s">
        <v>14</v>
      </c>
      <c r="C113" s="2">
        <v>0</v>
      </c>
      <c r="D113" s="4">
        <v>244</v>
      </c>
      <c r="E113" s="4">
        <v>386</v>
      </c>
      <c r="F113" s="4">
        <v>464</v>
      </c>
      <c r="G113" s="4">
        <v>430</v>
      </c>
      <c r="H113" s="4">
        <v>628</v>
      </c>
      <c r="I113" s="4">
        <v>581</v>
      </c>
      <c r="J113" s="4">
        <v>474</v>
      </c>
      <c r="K113" s="4">
        <v>613</v>
      </c>
      <c r="L113" s="4">
        <v>539</v>
      </c>
      <c r="M113" s="4">
        <v>649</v>
      </c>
      <c r="N113" s="4">
        <v>644</v>
      </c>
    </row>
    <row r="114" spans="1:14" hidden="1" x14ac:dyDescent="0.3">
      <c r="A114" s="1" t="s">
        <v>128</v>
      </c>
      <c r="B114" s="1" t="s">
        <v>14</v>
      </c>
      <c r="C114" s="2">
        <v>0</v>
      </c>
      <c r="D114" s="4">
        <v>622</v>
      </c>
      <c r="E114" s="4">
        <v>506</v>
      </c>
      <c r="F114" s="4">
        <v>476</v>
      </c>
      <c r="G114" s="4">
        <v>378</v>
      </c>
      <c r="H114" s="4">
        <v>383</v>
      </c>
      <c r="I114" s="4">
        <v>528</v>
      </c>
      <c r="J114" s="4">
        <v>545</v>
      </c>
      <c r="K114" s="4">
        <v>470</v>
      </c>
      <c r="L114" s="4">
        <v>564</v>
      </c>
      <c r="M114" s="4">
        <v>862</v>
      </c>
      <c r="N114" s="4">
        <v>537</v>
      </c>
    </row>
    <row r="115" spans="1:14" hidden="1" x14ac:dyDescent="0.3">
      <c r="A115" s="1" t="s">
        <v>129</v>
      </c>
      <c r="B115" s="1" t="s">
        <v>14</v>
      </c>
      <c r="C115" s="2">
        <v>0</v>
      </c>
      <c r="D115" s="4">
        <v>100</v>
      </c>
      <c r="E115" s="4">
        <v>100</v>
      </c>
      <c r="F115" s="4">
        <v>100</v>
      </c>
      <c r="G115" s="4">
        <v>119</v>
      </c>
      <c r="H115" s="4">
        <v>130</v>
      </c>
      <c r="I115" s="4">
        <v>166</v>
      </c>
      <c r="J115" s="4">
        <v>158</v>
      </c>
      <c r="K115" s="4">
        <v>100</v>
      </c>
      <c r="L115" s="4">
        <v>176</v>
      </c>
      <c r="M115" s="4">
        <v>157</v>
      </c>
      <c r="N115" s="4">
        <v>210</v>
      </c>
    </row>
    <row r="116" spans="1:14" hidden="1" x14ac:dyDescent="0.3">
      <c r="A116" s="1" t="s">
        <v>130</v>
      </c>
      <c r="B116" s="1" t="s">
        <v>14</v>
      </c>
      <c r="C116" s="2">
        <v>0</v>
      </c>
      <c r="D116" s="4">
        <v>298</v>
      </c>
      <c r="E116" s="4">
        <v>548</v>
      </c>
      <c r="F116" s="4">
        <v>408</v>
      </c>
      <c r="G116" s="4">
        <v>287</v>
      </c>
      <c r="H116" s="4">
        <v>608</v>
      </c>
      <c r="I116" s="4">
        <v>596</v>
      </c>
      <c r="J116" s="4">
        <v>570</v>
      </c>
      <c r="K116" s="4">
        <v>796</v>
      </c>
      <c r="L116" s="4">
        <v>740</v>
      </c>
      <c r="M116" s="4">
        <v>882</v>
      </c>
      <c r="N116" s="4">
        <v>958</v>
      </c>
    </row>
    <row r="117" spans="1:14" hidden="1" x14ac:dyDescent="0.3">
      <c r="A117" s="1" t="s">
        <v>131</v>
      </c>
      <c r="B117" s="1" t="s">
        <v>14</v>
      </c>
      <c r="C117" s="2">
        <v>0</v>
      </c>
      <c r="D117" s="4">
        <v>315</v>
      </c>
      <c r="E117" s="4">
        <v>345</v>
      </c>
      <c r="F117" s="4">
        <v>513</v>
      </c>
      <c r="G117" s="4">
        <v>541</v>
      </c>
      <c r="H117" s="4">
        <v>530</v>
      </c>
      <c r="I117" s="4">
        <v>544</v>
      </c>
      <c r="J117" s="4">
        <v>621</v>
      </c>
      <c r="K117" s="4">
        <v>525</v>
      </c>
      <c r="L117" s="4">
        <v>493</v>
      </c>
      <c r="M117" s="4">
        <v>446</v>
      </c>
      <c r="N117" s="4">
        <v>433</v>
      </c>
    </row>
    <row r="118" spans="1:14" s="5" customFormat="1" x14ac:dyDescent="0.3">
      <c r="A118" s="3" t="s">
        <v>132</v>
      </c>
      <c r="B118" s="3" t="s">
        <v>16</v>
      </c>
      <c r="C118" s="4">
        <v>0</v>
      </c>
      <c r="D118" s="4">
        <v>100</v>
      </c>
      <c r="E118" s="4">
        <v>100</v>
      </c>
      <c r="F118" s="4">
        <v>100</v>
      </c>
      <c r="G118" s="4">
        <v>100</v>
      </c>
      <c r="H118" s="4">
        <v>100</v>
      </c>
      <c r="I118" s="4">
        <v>100</v>
      </c>
      <c r="J118" s="4">
        <v>100</v>
      </c>
      <c r="K118" s="4">
        <v>100</v>
      </c>
      <c r="L118" s="4">
        <v>100</v>
      </c>
      <c r="M118" s="4">
        <v>129</v>
      </c>
      <c r="N118" s="4">
        <v>224</v>
      </c>
    </row>
    <row r="119" spans="1:14" s="5" customFormat="1" x14ac:dyDescent="0.3">
      <c r="A119" s="3" t="s">
        <v>133</v>
      </c>
      <c r="B119" s="3" t="s">
        <v>16</v>
      </c>
      <c r="C119" s="4">
        <v>0</v>
      </c>
      <c r="D119" s="4">
        <v>124</v>
      </c>
      <c r="E119" s="4">
        <v>100</v>
      </c>
      <c r="F119" s="4">
        <v>100</v>
      </c>
      <c r="G119" s="4">
        <v>100</v>
      </c>
      <c r="H119" s="4">
        <v>100</v>
      </c>
      <c r="I119" s="4">
        <v>100</v>
      </c>
      <c r="J119" s="4">
        <v>100</v>
      </c>
      <c r="K119" s="4">
        <v>100</v>
      </c>
      <c r="L119" s="4">
        <v>100</v>
      </c>
      <c r="M119" s="4">
        <v>100</v>
      </c>
      <c r="N119" s="4">
        <v>100</v>
      </c>
    </row>
    <row r="120" spans="1:14" hidden="1" x14ac:dyDescent="0.3">
      <c r="A120" s="1" t="s">
        <v>134</v>
      </c>
      <c r="B120" s="1" t="s">
        <v>14</v>
      </c>
      <c r="C120" s="2">
        <v>0</v>
      </c>
      <c r="D120" s="4">
        <v>172</v>
      </c>
      <c r="E120" s="4">
        <v>194</v>
      </c>
      <c r="F120" s="4">
        <v>173</v>
      </c>
      <c r="G120" s="4">
        <v>165</v>
      </c>
      <c r="H120" s="4">
        <v>194</v>
      </c>
      <c r="I120" s="4">
        <v>183</v>
      </c>
      <c r="J120" s="4">
        <v>169</v>
      </c>
      <c r="K120" s="4">
        <v>147</v>
      </c>
      <c r="L120" s="4">
        <v>100</v>
      </c>
      <c r="M120" s="4">
        <v>214</v>
      </c>
      <c r="N120" s="4">
        <v>179</v>
      </c>
    </row>
    <row r="121" spans="1:14" s="5" customFormat="1" x14ac:dyDescent="0.3">
      <c r="A121" s="3" t="s">
        <v>135</v>
      </c>
      <c r="B121" s="3" t="s">
        <v>16</v>
      </c>
      <c r="C121" s="4">
        <v>0</v>
      </c>
      <c r="D121" s="4">
        <v>100</v>
      </c>
      <c r="E121" s="4">
        <v>100</v>
      </c>
      <c r="F121" s="4">
        <v>100</v>
      </c>
      <c r="G121" s="4">
        <v>100</v>
      </c>
      <c r="H121" s="4">
        <v>100</v>
      </c>
      <c r="I121" s="4">
        <v>100</v>
      </c>
      <c r="J121" s="4">
        <v>100</v>
      </c>
      <c r="K121" s="4">
        <v>100</v>
      </c>
      <c r="L121" s="4">
        <v>100</v>
      </c>
      <c r="M121" s="4">
        <v>100</v>
      </c>
      <c r="N121" s="4">
        <v>100</v>
      </c>
    </row>
    <row r="122" spans="1:14" s="5" customFormat="1" x14ac:dyDescent="0.3">
      <c r="A122" s="3" t="s">
        <v>136</v>
      </c>
      <c r="B122" s="3" t="s">
        <v>16</v>
      </c>
      <c r="C122" s="4">
        <v>0</v>
      </c>
      <c r="D122" s="4">
        <v>225</v>
      </c>
      <c r="E122" s="4">
        <v>100</v>
      </c>
      <c r="F122" s="4">
        <v>100</v>
      </c>
      <c r="G122" s="4">
        <v>100</v>
      </c>
      <c r="H122" s="4">
        <v>296</v>
      </c>
      <c r="I122" s="4">
        <v>130</v>
      </c>
      <c r="J122" s="4">
        <v>100</v>
      </c>
      <c r="K122" s="4">
        <v>100</v>
      </c>
      <c r="L122" s="4">
        <v>100</v>
      </c>
      <c r="M122" s="4">
        <v>187</v>
      </c>
      <c r="N122" s="4">
        <v>351</v>
      </c>
    </row>
    <row r="123" spans="1:14" hidden="1" x14ac:dyDescent="0.3">
      <c r="A123" s="1" t="s">
        <v>137</v>
      </c>
      <c r="B123" s="1" t="s">
        <v>14</v>
      </c>
      <c r="C123" s="2">
        <v>0</v>
      </c>
      <c r="D123" s="2">
        <v>74</v>
      </c>
      <c r="E123" s="2">
        <v>142</v>
      </c>
      <c r="F123" s="2">
        <v>188</v>
      </c>
      <c r="G123" s="2">
        <v>151</v>
      </c>
      <c r="H123" s="2">
        <v>165</v>
      </c>
      <c r="I123" s="2">
        <v>454</v>
      </c>
      <c r="J123" s="2">
        <v>323</v>
      </c>
      <c r="K123" s="2">
        <v>335</v>
      </c>
      <c r="L123" s="2">
        <v>289</v>
      </c>
      <c r="M123" s="2">
        <v>464</v>
      </c>
      <c r="N123" s="2">
        <v>570</v>
      </c>
    </row>
    <row r="124" spans="1:14" hidden="1" x14ac:dyDescent="0.3">
      <c r="A124" s="1" t="s">
        <v>138</v>
      </c>
      <c r="B124" s="1" t="s">
        <v>14</v>
      </c>
      <c r="C124" s="2">
        <v>0</v>
      </c>
      <c r="D124" s="2">
        <v>192</v>
      </c>
      <c r="E124" s="2">
        <v>188</v>
      </c>
      <c r="F124" s="2">
        <v>172</v>
      </c>
      <c r="G124" s="2">
        <v>141</v>
      </c>
      <c r="H124" s="2">
        <v>191</v>
      </c>
      <c r="I124" s="2">
        <v>180</v>
      </c>
      <c r="J124" s="2">
        <v>205</v>
      </c>
      <c r="K124" s="2">
        <v>224</v>
      </c>
      <c r="L124" s="2">
        <v>205</v>
      </c>
      <c r="M124" s="2">
        <v>217</v>
      </c>
      <c r="N124" s="2">
        <v>191</v>
      </c>
    </row>
    <row r="125" spans="1:14" hidden="1" x14ac:dyDescent="0.3">
      <c r="A125" s="1" t="s">
        <v>139</v>
      </c>
      <c r="B125" s="1" t="s">
        <v>14</v>
      </c>
      <c r="C125" s="2">
        <v>0</v>
      </c>
      <c r="D125" s="2">
        <v>82</v>
      </c>
      <c r="E125" s="2">
        <v>78</v>
      </c>
      <c r="F125" s="2">
        <v>182</v>
      </c>
      <c r="G125" s="2">
        <v>167</v>
      </c>
      <c r="H125" s="2">
        <v>152</v>
      </c>
      <c r="I125" s="2">
        <v>178</v>
      </c>
      <c r="J125" s="2">
        <v>169</v>
      </c>
      <c r="K125" s="2">
        <v>155</v>
      </c>
      <c r="L125" s="2">
        <v>157</v>
      </c>
      <c r="M125" s="2">
        <v>199</v>
      </c>
      <c r="N125" s="2">
        <v>226</v>
      </c>
    </row>
    <row r="126" spans="1:14" hidden="1" x14ac:dyDescent="0.3">
      <c r="A126" s="1" t="s">
        <v>140</v>
      </c>
      <c r="B126" s="1" t="s">
        <v>141</v>
      </c>
      <c r="C126" s="2">
        <v>0</v>
      </c>
      <c r="D126" s="2">
        <v>2571</v>
      </c>
      <c r="E126" s="2">
        <v>2628</v>
      </c>
      <c r="F126" s="2">
        <v>2584</v>
      </c>
      <c r="G126" s="2">
        <v>2342</v>
      </c>
      <c r="H126" s="2">
        <v>2614</v>
      </c>
      <c r="I126" s="2">
        <v>2277</v>
      </c>
      <c r="J126" s="2">
        <v>2651</v>
      </c>
      <c r="K126" s="2">
        <v>2015</v>
      </c>
      <c r="L126" s="2">
        <v>2733</v>
      </c>
      <c r="M126" s="2">
        <v>2665</v>
      </c>
      <c r="N126" s="2">
        <v>3155</v>
      </c>
    </row>
    <row r="127" spans="1:14" hidden="1" x14ac:dyDescent="0.3">
      <c r="A127" s="1" t="s">
        <v>142</v>
      </c>
      <c r="B127" s="1" t="s">
        <v>14</v>
      </c>
      <c r="C127" s="2">
        <v>0</v>
      </c>
      <c r="D127" s="2">
        <v>137</v>
      </c>
      <c r="E127" s="2">
        <v>170</v>
      </c>
      <c r="F127" s="2">
        <v>257</v>
      </c>
      <c r="G127" s="2">
        <v>262</v>
      </c>
      <c r="H127" s="2">
        <v>263</v>
      </c>
      <c r="I127" s="2">
        <v>243</v>
      </c>
      <c r="J127" s="2">
        <v>202</v>
      </c>
      <c r="K127" s="2">
        <v>224</v>
      </c>
      <c r="L127" s="2">
        <v>230</v>
      </c>
      <c r="M127" s="2">
        <v>245</v>
      </c>
      <c r="N127" s="2">
        <v>222</v>
      </c>
    </row>
  </sheetData>
  <autoFilter ref="A1:N127" xr:uid="{00000000-0001-0000-0100-000000000000}">
    <filterColumn colId="1">
      <filters>
        <filter val="B4a ILUMINAÇÃO PÚBLICA -ILUMINACAO PÚBL"/>
      </filters>
    </filterColumn>
  </autoFilter>
  <conditionalFormatting sqref="D3:N122">
    <cfRule type="cellIs" dxfId="6" priority="1" operator="equal">
      <formula>50</formula>
    </cfRule>
    <cfRule type="cellIs" dxfId="5" priority="2" operator="equal">
      <formula>100</formula>
    </cfRule>
    <cfRule type="cellIs" dxfId="4" priority="4" operator="equal">
      <formula>30</formula>
    </cfRule>
  </conditionalFormatting>
  <conditionalFormatting sqref="G10">
    <cfRule type="cellIs" dxfId="3" priority="3" operator="equal">
      <formula>30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27"/>
  <sheetViews>
    <sheetView workbookViewId="0">
      <selection sqref="A1:A1048576"/>
    </sheetView>
  </sheetViews>
  <sheetFormatPr defaultRowHeight="14.4" x14ac:dyDescent="0.3"/>
  <cols>
    <col min="1" max="1" width="23" customWidth="1"/>
    <col min="2" max="2" width="44" customWidth="1"/>
    <col min="3" max="14" width="16" customWidth="1"/>
  </cols>
  <sheetData>
    <row r="1" spans="1:14" x14ac:dyDescent="0.3">
      <c r="A1" s="1" t="s">
        <v>0</v>
      </c>
      <c r="B1" s="1" t="s">
        <v>143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</row>
    <row r="2" spans="1:14" x14ac:dyDescent="0.3">
      <c r="A2" s="1" t="s">
        <v>13</v>
      </c>
      <c r="B2" s="1" t="s">
        <v>14</v>
      </c>
      <c r="C2" s="2">
        <v>0</v>
      </c>
      <c r="D2" s="2">
        <v>958</v>
      </c>
      <c r="E2" s="2">
        <v>1066</v>
      </c>
      <c r="F2" s="2">
        <v>1129</v>
      </c>
      <c r="G2" s="2">
        <v>1055</v>
      </c>
      <c r="H2" s="2">
        <v>1017</v>
      </c>
      <c r="I2" s="2">
        <v>913</v>
      </c>
      <c r="J2" s="2">
        <v>884</v>
      </c>
      <c r="K2" s="2">
        <v>780</v>
      </c>
      <c r="L2" s="2">
        <v>877</v>
      </c>
      <c r="M2" s="2">
        <v>993</v>
      </c>
      <c r="N2" s="2">
        <v>1255</v>
      </c>
    </row>
    <row r="3" spans="1:14" x14ac:dyDescent="0.3">
      <c r="A3" s="1" t="s">
        <v>15</v>
      </c>
      <c r="B3" s="3" t="s">
        <v>16</v>
      </c>
      <c r="C3" s="4">
        <v>0</v>
      </c>
      <c r="D3" s="4">
        <v>318</v>
      </c>
      <c r="E3" s="4">
        <v>369</v>
      </c>
      <c r="F3" s="4">
        <v>352</v>
      </c>
      <c r="G3" s="4">
        <v>414</v>
      </c>
      <c r="H3" s="4">
        <v>455</v>
      </c>
      <c r="I3" s="4">
        <v>299</v>
      </c>
      <c r="J3" s="4">
        <v>482</v>
      </c>
      <c r="K3" s="4">
        <v>521</v>
      </c>
      <c r="L3" s="4">
        <v>437</v>
      </c>
      <c r="M3" s="4">
        <v>325</v>
      </c>
      <c r="N3" s="4">
        <v>300</v>
      </c>
    </row>
    <row r="4" spans="1:14" x14ac:dyDescent="0.3">
      <c r="A4" s="1" t="s">
        <v>17</v>
      </c>
      <c r="B4" s="3" t="s">
        <v>16</v>
      </c>
      <c r="C4" s="4">
        <v>0</v>
      </c>
      <c r="D4" s="4">
        <v>646</v>
      </c>
      <c r="E4" s="4">
        <v>670</v>
      </c>
      <c r="F4" s="4">
        <v>662</v>
      </c>
      <c r="G4" s="4">
        <v>634</v>
      </c>
      <c r="H4" s="4">
        <v>728</v>
      </c>
      <c r="I4" s="4">
        <v>677</v>
      </c>
      <c r="J4" s="4">
        <v>537</v>
      </c>
      <c r="K4" s="4">
        <v>572</v>
      </c>
      <c r="L4" s="4">
        <v>525</v>
      </c>
      <c r="M4" s="4">
        <v>526</v>
      </c>
      <c r="N4" s="4">
        <v>578</v>
      </c>
    </row>
    <row r="5" spans="1:14" x14ac:dyDescent="0.3">
      <c r="A5" s="1" t="s">
        <v>18</v>
      </c>
      <c r="B5" s="1" t="s">
        <v>14</v>
      </c>
      <c r="C5" s="4">
        <v>0</v>
      </c>
      <c r="D5" s="4">
        <v>105</v>
      </c>
      <c r="E5" s="4">
        <v>337</v>
      </c>
      <c r="F5" s="4">
        <v>421</v>
      </c>
      <c r="G5" s="4">
        <v>438</v>
      </c>
      <c r="H5" s="4">
        <v>439</v>
      </c>
      <c r="I5" s="4">
        <v>336</v>
      </c>
      <c r="J5" s="4">
        <v>282</v>
      </c>
      <c r="K5" s="4">
        <v>288</v>
      </c>
      <c r="L5" s="4">
        <v>316</v>
      </c>
      <c r="M5" s="4">
        <v>315</v>
      </c>
      <c r="N5" s="4">
        <v>555</v>
      </c>
    </row>
    <row r="6" spans="1:14" x14ac:dyDescent="0.3">
      <c r="A6" s="1" t="s">
        <v>19</v>
      </c>
      <c r="B6" s="1" t="s">
        <v>14</v>
      </c>
      <c r="C6" s="4">
        <v>0</v>
      </c>
      <c r="D6" s="4">
        <v>2028</v>
      </c>
      <c r="E6" s="4">
        <v>1810</v>
      </c>
      <c r="F6" s="4">
        <v>1922</v>
      </c>
      <c r="G6" s="4">
        <v>1973</v>
      </c>
      <c r="H6" s="4">
        <v>2166</v>
      </c>
      <c r="I6" s="4">
        <v>2163</v>
      </c>
      <c r="J6" s="4">
        <v>1835</v>
      </c>
      <c r="K6" s="4">
        <v>2377</v>
      </c>
      <c r="L6" s="4">
        <v>0</v>
      </c>
      <c r="M6" s="4">
        <v>0</v>
      </c>
      <c r="N6" s="4">
        <v>0</v>
      </c>
    </row>
    <row r="7" spans="1:14" x14ac:dyDescent="0.3">
      <c r="A7" s="1" t="s">
        <v>20</v>
      </c>
      <c r="B7" s="3" t="s">
        <v>16</v>
      </c>
      <c r="C7" s="4">
        <v>0</v>
      </c>
      <c r="D7" s="4">
        <v>193</v>
      </c>
      <c r="E7" s="4">
        <v>130</v>
      </c>
      <c r="F7" s="4">
        <v>164</v>
      </c>
      <c r="G7" s="4">
        <v>153</v>
      </c>
      <c r="H7" s="4">
        <v>131</v>
      </c>
      <c r="I7" s="4">
        <v>110</v>
      </c>
      <c r="J7" s="4">
        <v>64</v>
      </c>
      <c r="K7" s="4">
        <v>646</v>
      </c>
      <c r="L7" s="4">
        <v>572</v>
      </c>
      <c r="M7" s="4">
        <v>431</v>
      </c>
      <c r="N7" s="4">
        <v>432</v>
      </c>
    </row>
    <row r="8" spans="1:14" x14ac:dyDescent="0.3">
      <c r="A8" s="1" t="s">
        <v>21</v>
      </c>
      <c r="B8" s="1" t="s">
        <v>14</v>
      </c>
      <c r="C8" s="4">
        <v>0</v>
      </c>
      <c r="D8" s="4">
        <v>242</v>
      </c>
      <c r="E8" s="4">
        <v>254</v>
      </c>
      <c r="F8" s="4">
        <v>236</v>
      </c>
      <c r="G8" s="4">
        <v>236</v>
      </c>
      <c r="H8" s="4">
        <v>239</v>
      </c>
      <c r="I8" s="4">
        <v>240</v>
      </c>
      <c r="J8" s="4">
        <v>248</v>
      </c>
      <c r="K8" s="4">
        <v>461</v>
      </c>
      <c r="L8" s="4">
        <v>319</v>
      </c>
      <c r="M8" s="4">
        <v>316</v>
      </c>
      <c r="N8" s="4">
        <v>365</v>
      </c>
    </row>
    <row r="9" spans="1:14" x14ac:dyDescent="0.3">
      <c r="A9" s="1" t="s">
        <v>22</v>
      </c>
      <c r="B9" s="1" t="s">
        <v>14</v>
      </c>
      <c r="C9" s="4">
        <v>0</v>
      </c>
      <c r="D9" s="4">
        <v>253</v>
      </c>
      <c r="E9" s="4">
        <v>257</v>
      </c>
      <c r="F9" s="4">
        <v>429</v>
      </c>
      <c r="G9" s="4">
        <v>520</v>
      </c>
      <c r="H9" s="4">
        <v>483</v>
      </c>
      <c r="I9" s="4">
        <v>520</v>
      </c>
      <c r="J9" s="4">
        <v>455</v>
      </c>
      <c r="K9" s="4">
        <v>363</v>
      </c>
      <c r="L9" s="4">
        <v>447</v>
      </c>
      <c r="M9" s="4">
        <v>499</v>
      </c>
      <c r="N9" s="4">
        <v>560</v>
      </c>
    </row>
    <row r="10" spans="1:14" x14ac:dyDescent="0.3">
      <c r="A10" s="1" t="s">
        <v>23</v>
      </c>
      <c r="B10" s="3" t="s">
        <v>16</v>
      </c>
      <c r="C10" s="4">
        <v>0</v>
      </c>
      <c r="D10" s="4">
        <v>21</v>
      </c>
      <c r="E10" s="4">
        <v>24</v>
      </c>
      <c r="F10" s="4">
        <v>0</v>
      </c>
      <c r="G10" s="4">
        <v>24</v>
      </c>
      <c r="H10" s="4">
        <v>25</v>
      </c>
      <c r="I10" s="4">
        <v>26</v>
      </c>
      <c r="J10" s="4">
        <v>30</v>
      </c>
      <c r="K10" s="4">
        <v>29</v>
      </c>
      <c r="L10" s="4">
        <v>26</v>
      </c>
      <c r="M10" s="4">
        <v>19</v>
      </c>
      <c r="N10" s="4">
        <v>25</v>
      </c>
    </row>
    <row r="11" spans="1:14" x14ac:dyDescent="0.3">
      <c r="A11" s="1" t="s">
        <v>24</v>
      </c>
      <c r="B11" s="3" t="s">
        <v>16</v>
      </c>
      <c r="C11" s="4">
        <v>0</v>
      </c>
      <c r="D11" s="4">
        <v>733</v>
      </c>
      <c r="E11" s="4">
        <v>846</v>
      </c>
      <c r="F11" s="4">
        <v>804</v>
      </c>
      <c r="G11" s="4">
        <v>764</v>
      </c>
      <c r="H11" s="4">
        <v>828</v>
      </c>
      <c r="I11" s="4">
        <v>506</v>
      </c>
      <c r="J11" s="4">
        <v>476</v>
      </c>
      <c r="K11" s="4">
        <v>0</v>
      </c>
      <c r="L11" s="4">
        <v>0</v>
      </c>
      <c r="M11" s="4">
        <v>0</v>
      </c>
      <c r="N11" s="4">
        <v>0</v>
      </c>
    </row>
    <row r="12" spans="1:14" x14ac:dyDescent="0.3">
      <c r="A12" s="1" t="s">
        <v>25</v>
      </c>
      <c r="B12" s="3" t="s">
        <v>16</v>
      </c>
      <c r="C12" s="4">
        <v>0</v>
      </c>
      <c r="D12" s="4">
        <v>0</v>
      </c>
      <c r="E12" s="4">
        <v>1</v>
      </c>
      <c r="F12" s="4">
        <v>1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</row>
    <row r="13" spans="1:14" x14ac:dyDescent="0.3">
      <c r="A13" s="1" t="s">
        <v>26</v>
      </c>
      <c r="B13" s="3" t="s">
        <v>16</v>
      </c>
      <c r="C13" s="4">
        <v>0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</row>
    <row r="14" spans="1:14" x14ac:dyDescent="0.3">
      <c r="A14" s="1" t="s">
        <v>27</v>
      </c>
      <c r="B14" s="3" t="s">
        <v>16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</row>
    <row r="15" spans="1:14" x14ac:dyDescent="0.3">
      <c r="A15" s="1" t="s">
        <v>28</v>
      </c>
      <c r="B15" s="1" t="s">
        <v>14</v>
      </c>
      <c r="C15" s="4">
        <v>0</v>
      </c>
      <c r="D15" s="4">
        <v>0</v>
      </c>
      <c r="E15" s="4">
        <v>1</v>
      </c>
      <c r="F15" s="4">
        <v>2</v>
      </c>
      <c r="G15" s="4">
        <v>1</v>
      </c>
      <c r="H15" s="4">
        <v>0</v>
      </c>
      <c r="I15" s="4">
        <v>0</v>
      </c>
      <c r="J15" s="4">
        <v>6</v>
      </c>
      <c r="K15" s="4">
        <v>1</v>
      </c>
      <c r="L15" s="4">
        <v>0</v>
      </c>
      <c r="M15" s="4">
        <v>0</v>
      </c>
      <c r="N15" s="4">
        <v>0</v>
      </c>
    </row>
    <row r="16" spans="1:14" x14ac:dyDescent="0.3">
      <c r="A16" s="1" t="s">
        <v>29</v>
      </c>
      <c r="B16" s="1" t="s">
        <v>14</v>
      </c>
      <c r="C16" s="4">
        <v>0</v>
      </c>
      <c r="D16" s="4">
        <v>143</v>
      </c>
      <c r="E16" s="4">
        <v>155</v>
      </c>
      <c r="F16" s="4">
        <v>198</v>
      </c>
      <c r="G16" s="4">
        <v>211</v>
      </c>
      <c r="H16" s="4">
        <v>218</v>
      </c>
      <c r="I16" s="4">
        <v>212</v>
      </c>
      <c r="J16" s="4">
        <v>186</v>
      </c>
      <c r="K16" s="4">
        <v>179</v>
      </c>
      <c r="L16" s="4">
        <v>148</v>
      </c>
      <c r="M16" s="4">
        <v>200</v>
      </c>
      <c r="N16" s="4">
        <v>185</v>
      </c>
    </row>
    <row r="17" spans="1:14" x14ac:dyDescent="0.3">
      <c r="A17" s="1" t="s">
        <v>30</v>
      </c>
      <c r="B17" s="3" t="s">
        <v>16</v>
      </c>
      <c r="C17" s="4">
        <v>0</v>
      </c>
      <c r="D17" s="4">
        <v>294</v>
      </c>
      <c r="E17" s="4">
        <v>282</v>
      </c>
      <c r="F17" s="4">
        <v>299</v>
      </c>
      <c r="G17" s="4">
        <v>322</v>
      </c>
      <c r="H17" s="4">
        <v>352</v>
      </c>
      <c r="I17" s="4">
        <v>340</v>
      </c>
      <c r="J17" s="4">
        <v>329</v>
      </c>
      <c r="K17" s="4">
        <v>280</v>
      </c>
      <c r="L17" s="4">
        <v>340</v>
      </c>
      <c r="M17" s="4">
        <v>357</v>
      </c>
      <c r="N17" s="4">
        <v>313</v>
      </c>
    </row>
    <row r="18" spans="1:14" x14ac:dyDescent="0.3">
      <c r="A18" s="1" t="s">
        <v>31</v>
      </c>
      <c r="B18" s="3" t="s">
        <v>16</v>
      </c>
      <c r="C18" s="4">
        <v>0</v>
      </c>
      <c r="D18" s="4">
        <v>0</v>
      </c>
      <c r="E18" s="4">
        <v>0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4">
        <v>5</v>
      </c>
      <c r="L18" s="4">
        <v>30</v>
      </c>
      <c r="M18" s="4">
        <v>24</v>
      </c>
      <c r="N18" s="4">
        <v>24</v>
      </c>
    </row>
    <row r="19" spans="1:14" x14ac:dyDescent="0.3">
      <c r="A19" s="1" t="s">
        <v>32</v>
      </c>
      <c r="B19" s="3" t="s">
        <v>16</v>
      </c>
      <c r="C19" s="4">
        <v>0</v>
      </c>
      <c r="D19" s="4">
        <v>0</v>
      </c>
      <c r="E19" s="4">
        <v>2</v>
      </c>
      <c r="F19" s="4">
        <v>0</v>
      </c>
      <c r="G19" s="4">
        <v>1</v>
      </c>
      <c r="H19" s="4">
        <v>0</v>
      </c>
      <c r="I19" s="4">
        <v>2</v>
      </c>
      <c r="J19" s="4">
        <v>1</v>
      </c>
      <c r="K19" s="4">
        <v>0</v>
      </c>
      <c r="L19" s="4">
        <v>0</v>
      </c>
      <c r="M19" s="4">
        <v>1</v>
      </c>
      <c r="N19" s="4">
        <v>0</v>
      </c>
    </row>
    <row r="20" spans="1:14" x14ac:dyDescent="0.3">
      <c r="A20" s="1" t="s">
        <v>33</v>
      </c>
      <c r="B20" s="1" t="s">
        <v>14</v>
      </c>
      <c r="C20" s="4">
        <v>0</v>
      </c>
      <c r="D20" s="4">
        <v>7129</v>
      </c>
      <c r="E20" s="4">
        <v>7700</v>
      </c>
      <c r="F20" s="4">
        <v>7119</v>
      </c>
      <c r="G20" s="4">
        <v>6861</v>
      </c>
      <c r="H20" s="4">
        <v>7639</v>
      </c>
      <c r="I20" s="4">
        <v>6062</v>
      </c>
      <c r="J20" s="4">
        <v>5468</v>
      </c>
      <c r="K20" s="4">
        <v>5133</v>
      </c>
      <c r="L20" s="4">
        <v>4850</v>
      </c>
      <c r="M20" s="4">
        <v>7264</v>
      </c>
      <c r="N20" s="4">
        <v>9523</v>
      </c>
    </row>
    <row r="21" spans="1:14" x14ac:dyDescent="0.3">
      <c r="A21" s="1" t="s">
        <v>34</v>
      </c>
      <c r="B21" s="1" t="s">
        <v>14</v>
      </c>
      <c r="C21" s="4">
        <v>0</v>
      </c>
      <c r="D21" s="4">
        <v>0</v>
      </c>
      <c r="E21" s="4">
        <v>0</v>
      </c>
      <c r="F21" s="4">
        <v>0</v>
      </c>
      <c r="G21" s="4">
        <v>0</v>
      </c>
      <c r="H21" s="4">
        <v>0</v>
      </c>
      <c r="I21" s="4">
        <v>0</v>
      </c>
      <c r="J21" s="4">
        <v>0</v>
      </c>
      <c r="K21" s="4">
        <v>0</v>
      </c>
      <c r="L21" s="4">
        <v>0</v>
      </c>
      <c r="M21" s="4">
        <v>0</v>
      </c>
      <c r="N21" s="4">
        <v>0</v>
      </c>
    </row>
    <row r="22" spans="1:14" x14ac:dyDescent="0.3">
      <c r="A22" s="1" t="s">
        <v>35</v>
      </c>
      <c r="B22" s="1" t="s">
        <v>14</v>
      </c>
      <c r="C22" s="4">
        <v>0</v>
      </c>
      <c r="D22" s="4">
        <v>0</v>
      </c>
      <c r="E22" s="4">
        <v>0</v>
      </c>
      <c r="F22" s="4">
        <v>0</v>
      </c>
      <c r="G22" s="4">
        <v>0</v>
      </c>
      <c r="H22" s="4">
        <v>0</v>
      </c>
      <c r="I22" s="4">
        <v>0</v>
      </c>
      <c r="J22" s="4">
        <v>0</v>
      </c>
      <c r="K22" s="4">
        <v>0</v>
      </c>
      <c r="L22" s="4">
        <v>0</v>
      </c>
      <c r="M22" s="4">
        <v>0</v>
      </c>
      <c r="N22" s="4">
        <v>0</v>
      </c>
    </row>
    <row r="23" spans="1:14" x14ac:dyDescent="0.3">
      <c r="A23" s="1" t="s">
        <v>36</v>
      </c>
      <c r="B23" s="1" t="s">
        <v>14</v>
      </c>
      <c r="C23" s="4">
        <v>0</v>
      </c>
      <c r="D23" s="4">
        <v>323</v>
      </c>
      <c r="E23" s="4">
        <v>281</v>
      </c>
      <c r="F23" s="4">
        <v>300</v>
      </c>
      <c r="G23" s="4">
        <v>414</v>
      </c>
      <c r="H23" s="4">
        <v>452</v>
      </c>
      <c r="I23" s="4">
        <v>494</v>
      </c>
      <c r="J23" s="4">
        <v>354</v>
      </c>
      <c r="K23" s="4">
        <v>304</v>
      </c>
      <c r="L23" s="4">
        <v>258</v>
      </c>
      <c r="M23" s="4">
        <v>303</v>
      </c>
      <c r="N23" s="4">
        <v>243</v>
      </c>
    </row>
    <row r="24" spans="1:14" x14ac:dyDescent="0.3">
      <c r="A24" s="1" t="s">
        <v>37</v>
      </c>
      <c r="B24" s="3" t="s">
        <v>16</v>
      </c>
      <c r="C24" s="4">
        <v>0</v>
      </c>
      <c r="D24" s="4">
        <v>827</v>
      </c>
      <c r="E24" s="4">
        <v>422</v>
      </c>
      <c r="F24" s="4">
        <v>288</v>
      </c>
      <c r="G24" s="4">
        <v>24</v>
      </c>
      <c r="H24" s="4">
        <v>94</v>
      </c>
      <c r="I24" s="4">
        <v>273</v>
      </c>
      <c r="J24" s="4">
        <v>332</v>
      </c>
      <c r="K24" s="4">
        <v>1422</v>
      </c>
      <c r="L24" s="4">
        <v>168</v>
      </c>
      <c r="M24" s="4">
        <v>1124</v>
      </c>
      <c r="N24" s="4">
        <v>200</v>
      </c>
    </row>
    <row r="25" spans="1:14" x14ac:dyDescent="0.3">
      <c r="A25" s="1" t="s">
        <v>38</v>
      </c>
      <c r="B25" s="3" t="s">
        <v>16</v>
      </c>
      <c r="C25" s="4">
        <v>0</v>
      </c>
      <c r="D25" s="4">
        <v>1600</v>
      </c>
      <c r="E25" s="4">
        <v>1498</v>
      </c>
      <c r="F25" s="4">
        <v>1461</v>
      </c>
      <c r="G25" s="4">
        <v>1397</v>
      </c>
      <c r="H25" s="4">
        <v>1497</v>
      </c>
      <c r="I25" s="4">
        <v>1630</v>
      </c>
      <c r="J25" s="4">
        <v>1626</v>
      </c>
      <c r="K25" s="4">
        <v>1676</v>
      </c>
      <c r="L25" s="4">
        <v>1456</v>
      </c>
      <c r="M25" s="4">
        <v>1706</v>
      </c>
      <c r="N25" s="4">
        <v>1466</v>
      </c>
    </row>
    <row r="26" spans="1:14" x14ac:dyDescent="0.3">
      <c r="A26" s="1" t="s">
        <v>39</v>
      </c>
      <c r="B26" s="3" t="s">
        <v>16</v>
      </c>
      <c r="C26" s="4">
        <v>0</v>
      </c>
      <c r="D26" s="4">
        <v>443</v>
      </c>
      <c r="E26" s="4">
        <v>697</v>
      </c>
      <c r="F26" s="4">
        <v>615</v>
      </c>
      <c r="G26" s="4">
        <v>508</v>
      </c>
      <c r="H26" s="4">
        <v>567</v>
      </c>
      <c r="I26" s="4">
        <v>570</v>
      </c>
      <c r="J26" s="4">
        <v>592</v>
      </c>
      <c r="K26" s="4">
        <v>650</v>
      </c>
      <c r="L26" s="4">
        <v>34</v>
      </c>
      <c r="M26" s="4">
        <v>0</v>
      </c>
      <c r="N26" s="4">
        <v>0</v>
      </c>
    </row>
    <row r="27" spans="1:14" x14ac:dyDescent="0.3">
      <c r="A27" s="1" t="s">
        <v>40</v>
      </c>
      <c r="B27" s="1" t="s">
        <v>14</v>
      </c>
      <c r="C27" s="4">
        <v>0</v>
      </c>
      <c r="D27" s="4">
        <v>641</v>
      </c>
      <c r="E27" s="4">
        <v>0</v>
      </c>
      <c r="F27" s="4">
        <v>321</v>
      </c>
      <c r="G27" s="4">
        <v>485</v>
      </c>
      <c r="H27" s="4">
        <v>450</v>
      </c>
      <c r="I27" s="4">
        <v>474</v>
      </c>
      <c r="J27" s="4">
        <v>392</v>
      </c>
      <c r="K27" s="4">
        <v>457</v>
      </c>
      <c r="L27" s="4">
        <v>338</v>
      </c>
      <c r="M27" s="4">
        <v>414</v>
      </c>
      <c r="N27" s="4">
        <v>486</v>
      </c>
    </row>
    <row r="28" spans="1:14" x14ac:dyDescent="0.3">
      <c r="A28" s="1" t="s">
        <v>41</v>
      </c>
      <c r="B28" s="3" t="s">
        <v>16</v>
      </c>
      <c r="C28" s="4">
        <v>0</v>
      </c>
      <c r="D28" s="4">
        <v>0</v>
      </c>
      <c r="E28" s="4">
        <v>0</v>
      </c>
      <c r="F28" s="4">
        <v>0</v>
      </c>
      <c r="G28" s="4">
        <v>0</v>
      </c>
      <c r="H28" s="4">
        <v>41</v>
      </c>
      <c r="I28" s="4">
        <v>2</v>
      </c>
      <c r="J28" s="4">
        <v>0</v>
      </c>
      <c r="K28" s="4">
        <v>0</v>
      </c>
      <c r="L28" s="4">
        <v>0</v>
      </c>
      <c r="M28" s="4">
        <v>0</v>
      </c>
      <c r="N28" s="4">
        <v>0</v>
      </c>
    </row>
    <row r="29" spans="1:14" x14ac:dyDescent="0.3">
      <c r="A29" s="1" t="s">
        <v>42</v>
      </c>
      <c r="B29" s="1" t="s">
        <v>14</v>
      </c>
      <c r="C29" s="4">
        <v>0</v>
      </c>
      <c r="D29" s="4">
        <v>2550</v>
      </c>
      <c r="E29" s="4">
        <v>3526</v>
      </c>
      <c r="F29" s="4">
        <v>2928</v>
      </c>
      <c r="G29" s="4">
        <v>2605</v>
      </c>
      <c r="H29" s="4">
        <v>2613</v>
      </c>
      <c r="I29" s="4">
        <v>2451</v>
      </c>
      <c r="J29" s="4">
        <v>1867</v>
      </c>
      <c r="K29" s="4">
        <v>1891</v>
      </c>
      <c r="L29" s="4">
        <v>1939</v>
      </c>
      <c r="M29" s="4">
        <v>2710</v>
      </c>
      <c r="N29" s="4">
        <v>3028</v>
      </c>
    </row>
    <row r="30" spans="1:14" x14ac:dyDescent="0.3">
      <c r="A30" s="1" t="s">
        <v>43</v>
      </c>
      <c r="B30" s="1" t="s">
        <v>14</v>
      </c>
      <c r="C30" s="4">
        <v>0</v>
      </c>
      <c r="D30" s="4">
        <v>351</v>
      </c>
      <c r="E30" s="4">
        <v>257</v>
      </c>
      <c r="F30" s="4">
        <v>459</v>
      </c>
      <c r="G30" s="4">
        <v>659</v>
      </c>
      <c r="H30" s="4">
        <v>645</v>
      </c>
      <c r="I30" s="4">
        <v>598</v>
      </c>
      <c r="J30" s="4">
        <v>420</v>
      </c>
      <c r="K30" s="4">
        <v>342</v>
      </c>
      <c r="L30" s="4">
        <v>448</v>
      </c>
      <c r="M30" s="4">
        <v>529</v>
      </c>
      <c r="N30" s="4">
        <v>575</v>
      </c>
    </row>
    <row r="31" spans="1:14" x14ac:dyDescent="0.3">
      <c r="A31" s="1" t="s">
        <v>44</v>
      </c>
      <c r="B31" s="1" t="s">
        <v>14</v>
      </c>
      <c r="C31" s="4">
        <v>0</v>
      </c>
      <c r="D31" s="4">
        <v>3</v>
      </c>
      <c r="E31" s="4">
        <v>0</v>
      </c>
      <c r="F31" s="4">
        <v>0</v>
      </c>
      <c r="G31" s="4">
        <v>0</v>
      </c>
      <c r="H31" s="4">
        <v>0</v>
      </c>
      <c r="I31" s="4">
        <v>0</v>
      </c>
      <c r="J31" s="4">
        <v>1</v>
      </c>
      <c r="K31" s="4">
        <v>1</v>
      </c>
      <c r="L31" s="4">
        <v>0</v>
      </c>
      <c r="M31" s="4">
        <v>0</v>
      </c>
      <c r="N31" s="4">
        <v>0</v>
      </c>
    </row>
    <row r="32" spans="1:14" x14ac:dyDescent="0.3">
      <c r="A32" s="1" t="s">
        <v>45</v>
      </c>
      <c r="B32" s="1" t="s">
        <v>14</v>
      </c>
      <c r="C32" s="4">
        <v>0</v>
      </c>
      <c r="D32" s="4">
        <v>187</v>
      </c>
      <c r="E32" s="4">
        <v>161</v>
      </c>
      <c r="F32" s="4">
        <v>122</v>
      </c>
      <c r="G32" s="4">
        <v>307</v>
      </c>
      <c r="H32" s="4">
        <v>233</v>
      </c>
      <c r="I32" s="4">
        <v>227</v>
      </c>
      <c r="J32" s="4">
        <v>206</v>
      </c>
      <c r="K32" s="4">
        <v>190</v>
      </c>
      <c r="L32" s="4">
        <v>218</v>
      </c>
      <c r="M32" s="4">
        <v>227</v>
      </c>
      <c r="N32" s="4">
        <v>277</v>
      </c>
    </row>
    <row r="33" spans="1:14" x14ac:dyDescent="0.3">
      <c r="A33" s="1" t="s">
        <v>46</v>
      </c>
      <c r="B33" s="1" t="s">
        <v>14</v>
      </c>
      <c r="C33" s="4">
        <v>0</v>
      </c>
      <c r="D33" s="4">
        <v>1</v>
      </c>
      <c r="E33" s="4">
        <v>0</v>
      </c>
      <c r="F33" s="4">
        <v>0</v>
      </c>
      <c r="G33" s="4">
        <v>243</v>
      </c>
      <c r="H33" s="4">
        <v>239</v>
      </c>
      <c r="I33" s="4">
        <v>232</v>
      </c>
      <c r="J33" s="4">
        <v>204</v>
      </c>
      <c r="K33" s="4">
        <v>203</v>
      </c>
      <c r="L33" s="4">
        <v>206</v>
      </c>
      <c r="M33" s="4">
        <v>209</v>
      </c>
      <c r="N33" s="4">
        <v>252</v>
      </c>
    </row>
    <row r="34" spans="1:14" x14ac:dyDescent="0.3">
      <c r="A34" s="1" t="s">
        <v>47</v>
      </c>
      <c r="B34" s="1" t="s">
        <v>14</v>
      </c>
      <c r="C34" s="4">
        <v>0</v>
      </c>
      <c r="D34" s="4">
        <v>150</v>
      </c>
      <c r="E34" s="4">
        <v>178</v>
      </c>
      <c r="F34" s="4">
        <v>173</v>
      </c>
      <c r="G34" s="4">
        <v>56</v>
      </c>
      <c r="H34" s="4">
        <v>36</v>
      </c>
      <c r="I34" s="4">
        <v>16</v>
      </c>
      <c r="J34" s="4">
        <v>7</v>
      </c>
      <c r="K34" s="4">
        <v>59</v>
      </c>
      <c r="L34" s="4">
        <v>181</v>
      </c>
      <c r="M34" s="4">
        <v>141</v>
      </c>
      <c r="N34" s="4">
        <v>155</v>
      </c>
    </row>
    <row r="35" spans="1:14" x14ac:dyDescent="0.3">
      <c r="A35" s="1" t="s">
        <v>48</v>
      </c>
      <c r="B35" s="1" t="s">
        <v>14</v>
      </c>
      <c r="C35" s="4">
        <v>0</v>
      </c>
      <c r="D35" s="4">
        <v>0</v>
      </c>
      <c r="E35" s="4">
        <v>0</v>
      </c>
      <c r="F35" s="4">
        <v>0</v>
      </c>
      <c r="G35" s="4">
        <v>0</v>
      </c>
      <c r="H35" s="4">
        <v>0</v>
      </c>
      <c r="I35" s="4">
        <v>0</v>
      </c>
      <c r="J35" s="4">
        <v>0</v>
      </c>
      <c r="K35" s="4">
        <v>0</v>
      </c>
      <c r="L35" s="4">
        <v>0</v>
      </c>
      <c r="M35" s="4">
        <v>0</v>
      </c>
      <c r="N35" s="4">
        <v>0</v>
      </c>
    </row>
    <row r="36" spans="1:14" x14ac:dyDescent="0.3">
      <c r="A36" s="1" t="s">
        <v>49</v>
      </c>
      <c r="B36" s="1" t="s">
        <v>14</v>
      </c>
      <c r="C36" s="4">
        <v>0</v>
      </c>
      <c r="D36" s="4">
        <v>0</v>
      </c>
      <c r="E36" s="4">
        <v>0</v>
      </c>
      <c r="F36" s="4">
        <v>0</v>
      </c>
      <c r="G36" s="4">
        <v>0</v>
      </c>
      <c r="H36" s="4">
        <v>0</v>
      </c>
      <c r="I36" s="4">
        <v>0</v>
      </c>
      <c r="J36" s="4">
        <v>0</v>
      </c>
      <c r="K36" s="4">
        <v>0</v>
      </c>
      <c r="L36" s="4">
        <v>0</v>
      </c>
      <c r="M36" s="4">
        <v>8982</v>
      </c>
      <c r="N36" s="4">
        <v>8530</v>
      </c>
    </row>
    <row r="37" spans="1:14" x14ac:dyDescent="0.3">
      <c r="A37" s="1" t="s">
        <v>50</v>
      </c>
      <c r="B37" s="1" t="s">
        <v>14</v>
      </c>
      <c r="C37" s="4">
        <v>0</v>
      </c>
      <c r="D37" s="4">
        <v>79</v>
      </c>
      <c r="E37" s="4">
        <v>94</v>
      </c>
      <c r="F37" s="4">
        <v>61</v>
      </c>
      <c r="G37" s="4">
        <v>65</v>
      </c>
      <c r="H37" s="4">
        <v>74</v>
      </c>
      <c r="I37" s="4">
        <v>64</v>
      </c>
      <c r="J37" s="4">
        <v>53</v>
      </c>
      <c r="K37" s="4">
        <v>58</v>
      </c>
      <c r="L37" s="4">
        <v>67</v>
      </c>
      <c r="M37" s="4">
        <v>79</v>
      </c>
      <c r="N37" s="4">
        <v>95</v>
      </c>
    </row>
    <row r="38" spans="1:14" x14ac:dyDescent="0.3">
      <c r="A38" s="1" t="s">
        <v>51</v>
      </c>
      <c r="B38" s="1" t="s">
        <v>14</v>
      </c>
      <c r="C38" s="4">
        <v>0</v>
      </c>
      <c r="D38" s="4">
        <v>210</v>
      </c>
      <c r="E38" s="4">
        <v>232</v>
      </c>
      <c r="F38" s="4">
        <v>303</v>
      </c>
      <c r="G38" s="4">
        <v>357</v>
      </c>
      <c r="H38" s="4">
        <v>312</v>
      </c>
      <c r="I38" s="4">
        <v>305</v>
      </c>
      <c r="J38" s="4">
        <v>292</v>
      </c>
      <c r="K38" s="4">
        <v>201</v>
      </c>
      <c r="L38" s="4">
        <v>405</v>
      </c>
      <c r="M38" s="4">
        <v>309</v>
      </c>
      <c r="N38" s="4">
        <v>357</v>
      </c>
    </row>
    <row r="39" spans="1:14" x14ac:dyDescent="0.3">
      <c r="A39" s="1" t="s">
        <v>52</v>
      </c>
      <c r="B39" s="3" t="s">
        <v>16</v>
      </c>
      <c r="C39" s="4">
        <v>0</v>
      </c>
      <c r="D39" s="4">
        <v>0</v>
      </c>
      <c r="E39" s="4">
        <v>0</v>
      </c>
      <c r="F39" s="4">
        <v>0</v>
      </c>
      <c r="G39" s="4">
        <v>0</v>
      </c>
      <c r="H39" s="4">
        <v>0</v>
      </c>
      <c r="I39" s="4">
        <v>0</v>
      </c>
      <c r="J39" s="4">
        <v>0</v>
      </c>
      <c r="K39" s="4">
        <v>0</v>
      </c>
      <c r="L39" s="4">
        <v>0</v>
      </c>
      <c r="M39" s="4">
        <v>0</v>
      </c>
      <c r="N39" s="4">
        <v>0</v>
      </c>
    </row>
    <row r="40" spans="1:14" x14ac:dyDescent="0.3">
      <c r="A40" s="1" t="s">
        <v>53</v>
      </c>
      <c r="B40" s="1" t="s">
        <v>14</v>
      </c>
      <c r="C40" s="4">
        <v>0</v>
      </c>
      <c r="D40" s="4">
        <v>347</v>
      </c>
      <c r="E40" s="4">
        <v>767</v>
      </c>
      <c r="F40" s="4">
        <v>652</v>
      </c>
      <c r="G40" s="4">
        <v>810</v>
      </c>
      <c r="H40" s="4">
        <v>744</v>
      </c>
      <c r="I40" s="4">
        <v>757</v>
      </c>
      <c r="J40" s="4">
        <v>564</v>
      </c>
      <c r="K40" s="4">
        <v>546</v>
      </c>
      <c r="L40" s="4">
        <v>670</v>
      </c>
      <c r="M40" s="4">
        <v>546</v>
      </c>
      <c r="N40" s="4">
        <v>802</v>
      </c>
    </row>
    <row r="41" spans="1:14" x14ac:dyDescent="0.3">
      <c r="A41" s="1" t="s">
        <v>54</v>
      </c>
      <c r="B41" s="1" t="s">
        <v>14</v>
      </c>
      <c r="C41" s="4">
        <v>0</v>
      </c>
      <c r="D41" s="4">
        <v>416</v>
      </c>
      <c r="E41" s="4">
        <v>540</v>
      </c>
      <c r="F41" s="4">
        <v>514</v>
      </c>
      <c r="G41" s="4">
        <v>365</v>
      </c>
      <c r="H41" s="4">
        <v>474</v>
      </c>
      <c r="I41" s="4">
        <v>292</v>
      </c>
      <c r="J41" s="4">
        <v>236</v>
      </c>
      <c r="K41" s="4">
        <v>232</v>
      </c>
      <c r="L41" s="4">
        <v>262</v>
      </c>
      <c r="M41" s="4">
        <v>330</v>
      </c>
      <c r="N41" s="4">
        <v>388</v>
      </c>
    </row>
    <row r="42" spans="1:14" x14ac:dyDescent="0.3">
      <c r="A42" s="1" t="s">
        <v>55</v>
      </c>
      <c r="B42" s="1" t="s">
        <v>14</v>
      </c>
      <c r="C42" s="4">
        <v>0</v>
      </c>
      <c r="D42" s="4">
        <v>17</v>
      </c>
      <c r="E42" s="4">
        <v>40</v>
      </c>
      <c r="F42" s="4">
        <v>30</v>
      </c>
      <c r="G42" s="4">
        <v>27</v>
      </c>
      <c r="H42" s="4">
        <v>28</v>
      </c>
      <c r="I42" s="4">
        <v>34</v>
      </c>
      <c r="J42" s="4">
        <v>27</v>
      </c>
      <c r="K42" s="4">
        <v>29</v>
      </c>
      <c r="L42" s="4">
        <v>28</v>
      </c>
      <c r="M42" s="4">
        <v>33</v>
      </c>
      <c r="N42" s="4">
        <v>35</v>
      </c>
    </row>
    <row r="43" spans="1:14" x14ac:dyDescent="0.3">
      <c r="A43" s="1" t="s">
        <v>56</v>
      </c>
      <c r="B43" s="1" t="s">
        <v>14</v>
      </c>
      <c r="C43" s="4">
        <v>0</v>
      </c>
      <c r="D43" s="4">
        <v>0</v>
      </c>
      <c r="E43" s="4">
        <v>851</v>
      </c>
      <c r="F43" s="4">
        <v>209</v>
      </c>
      <c r="G43" s="4">
        <v>607</v>
      </c>
      <c r="H43" s="4">
        <v>348</v>
      </c>
      <c r="I43" s="4">
        <v>396</v>
      </c>
      <c r="J43" s="4">
        <v>444</v>
      </c>
      <c r="K43" s="4">
        <v>493</v>
      </c>
      <c r="L43" s="4">
        <v>605</v>
      </c>
      <c r="M43" s="4">
        <v>855</v>
      </c>
      <c r="N43" s="4">
        <v>913</v>
      </c>
    </row>
    <row r="44" spans="1:14" x14ac:dyDescent="0.3">
      <c r="A44" s="1" t="s">
        <v>57</v>
      </c>
      <c r="B44" s="1" t="s">
        <v>14</v>
      </c>
      <c r="C44" s="4">
        <v>0</v>
      </c>
      <c r="D44" s="4">
        <v>2508</v>
      </c>
      <c r="E44" s="4">
        <v>2508</v>
      </c>
      <c r="F44" s="4">
        <v>3577</v>
      </c>
      <c r="G44" s="4">
        <v>0</v>
      </c>
      <c r="H44" s="4">
        <v>0</v>
      </c>
      <c r="I44" s="4">
        <v>0</v>
      </c>
      <c r="J44" s="4">
        <v>0</v>
      </c>
      <c r="K44" s="4">
        <v>0</v>
      </c>
      <c r="L44" s="4">
        <v>0</v>
      </c>
      <c r="M44" s="4">
        <v>0</v>
      </c>
      <c r="N44" s="4">
        <v>0</v>
      </c>
    </row>
    <row r="45" spans="1:14" x14ac:dyDescent="0.3">
      <c r="A45" s="1" t="s">
        <v>58</v>
      </c>
      <c r="B45" s="1" t="s">
        <v>14</v>
      </c>
      <c r="C45" s="4">
        <v>0</v>
      </c>
      <c r="D45" s="4">
        <v>137</v>
      </c>
      <c r="E45" s="4">
        <v>145</v>
      </c>
      <c r="F45" s="4">
        <v>140</v>
      </c>
      <c r="G45" s="4">
        <v>145</v>
      </c>
      <c r="H45" s="4">
        <v>147</v>
      </c>
      <c r="I45" s="4">
        <v>155</v>
      </c>
      <c r="J45" s="4">
        <v>162</v>
      </c>
      <c r="K45" s="4">
        <v>165</v>
      </c>
      <c r="L45" s="4">
        <v>145</v>
      </c>
      <c r="M45" s="4">
        <v>162</v>
      </c>
      <c r="N45" s="4">
        <v>165</v>
      </c>
    </row>
    <row r="46" spans="1:14" x14ac:dyDescent="0.3">
      <c r="A46" s="1" t="s">
        <v>59</v>
      </c>
      <c r="B46" s="1" t="s">
        <v>14</v>
      </c>
      <c r="C46" s="4">
        <v>0</v>
      </c>
      <c r="D46" s="4">
        <v>1030</v>
      </c>
      <c r="E46" s="4">
        <v>215</v>
      </c>
      <c r="F46" s="4">
        <v>515</v>
      </c>
      <c r="G46" s="4">
        <v>1354</v>
      </c>
      <c r="H46" s="4">
        <v>996</v>
      </c>
      <c r="I46" s="4">
        <v>1017</v>
      </c>
      <c r="J46" s="4">
        <v>788</v>
      </c>
      <c r="K46" s="4">
        <v>696</v>
      </c>
      <c r="L46" s="4">
        <v>860</v>
      </c>
      <c r="M46" s="4">
        <v>824</v>
      </c>
      <c r="N46" s="4">
        <v>1057</v>
      </c>
    </row>
    <row r="47" spans="1:14" x14ac:dyDescent="0.3">
      <c r="A47" s="1" t="s">
        <v>60</v>
      </c>
      <c r="B47" s="1" t="s">
        <v>14</v>
      </c>
      <c r="C47" s="4">
        <v>0</v>
      </c>
      <c r="D47" s="4">
        <v>1920</v>
      </c>
      <c r="E47" s="4">
        <v>1877</v>
      </c>
      <c r="F47" s="4">
        <v>1850</v>
      </c>
      <c r="G47" s="4">
        <v>0</v>
      </c>
      <c r="H47" s="4">
        <v>862</v>
      </c>
      <c r="I47" s="4">
        <v>1020</v>
      </c>
      <c r="J47" s="4">
        <v>1319</v>
      </c>
      <c r="K47" s="4">
        <v>1186</v>
      </c>
      <c r="L47" s="4">
        <v>1281</v>
      </c>
      <c r="M47" s="4">
        <v>1301</v>
      </c>
      <c r="N47" s="4">
        <v>1401</v>
      </c>
    </row>
    <row r="48" spans="1:14" x14ac:dyDescent="0.3">
      <c r="A48" s="1" t="s">
        <v>61</v>
      </c>
      <c r="B48" s="1" t="s">
        <v>14</v>
      </c>
      <c r="C48" s="4">
        <v>0</v>
      </c>
      <c r="D48" s="4">
        <v>0</v>
      </c>
      <c r="E48" s="4">
        <v>0</v>
      </c>
      <c r="F48" s="4">
        <v>0</v>
      </c>
      <c r="G48" s="4">
        <v>0</v>
      </c>
      <c r="H48" s="4">
        <v>0</v>
      </c>
      <c r="I48" s="4">
        <v>0</v>
      </c>
      <c r="J48" s="4">
        <v>0</v>
      </c>
      <c r="K48" s="4">
        <v>0</v>
      </c>
      <c r="L48" s="4">
        <v>0</v>
      </c>
      <c r="M48" s="4">
        <v>0</v>
      </c>
      <c r="N48" s="4">
        <v>0</v>
      </c>
    </row>
    <row r="49" spans="1:14" x14ac:dyDescent="0.3">
      <c r="A49" s="1" t="s">
        <v>62</v>
      </c>
      <c r="B49" s="1" t="s">
        <v>14</v>
      </c>
      <c r="C49" s="4">
        <v>0</v>
      </c>
      <c r="D49" s="4">
        <v>800</v>
      </c>
      <c r="E49" s="4">
        <v>1190</v>
      </c>
      <c r="F49" s="4">
        <v>1180</v>
      </c>
      <c r="G49" s="4">
        <v>1205</v>
      </c>
      <c r="H49" s="4">
        <v>1302</v>
      </c>
      <c r="I49" s="4">
        <v>1276</v>
      </c>
      <c r="J49" s="4">
        <v>1205</v>
      </c>
      <c r="K49" s="4">
        <v>1156</v>
      </c>
      <c r="L49" s="4">
        <v>1218</v>
      </c>
      <c r="M49" s="4">
        <v>1629</v>
      </c>
      <c r="N49" s="4">
        <v>1860</v>
      </c>
    </row>
    <row r="50" spans="1:14" x14ac:dyDescent="0.3">
      <c r="A50" s="1" t="s">
        <v>63</v>
      </c>
      <c r="B50" s="1" t="s">
        <v>14</v>
      </c>
      <c r="C50" s="4">
        <v>0</v>
      </c>
      <c r="D50" s="4">
        <v>153</v>
      </c>
      <c r="E50" s="4">
        <v>121</v>
      </c>
      <c r="F50" s="4">
        <v>265</v>
      </c>
      <c r="G50" s="4">
        <v>322</v>
      </c>
      <c r="H50" s="4">
        <v>304</v>
      </c>
      <c r="I50" s="4">
        <v>333</v>
      </c>
      <c r="J50" s="4">
        <v>290</v>
      </c>
      <c r="K50" s="4">
        <v>232</v>
      </c>
      <c r="L50" s="4">
        <v>283</v>
      </c>
      <c r="M50" s="4">
        <v>236</v>
      </c>
      <c r="N50" s="4">
        <v>285</v>
      </c>
    </row>
    <row r="51" spans="1:14" x14ac:dyDescent="0.3">
      <c r="A51" s="1" t="s">
        <v>64</v>
      </c>
      <c r="B51" s="1" t="s">
        <v>14</v>
      </c>
      <c r="C51" s="4">
        <v>0</v>
      </c>
      <c r="D51" s="4">
        <v>4088</v>
      </c>
      <c r="E51" s="4">
        <v>5886</v>
      </c>
      <c r="F51" s="4">
        <v>5686</v>
      </c>
      <c r="G51" s="4">
        <v>6298</v>
      </c>
      <c r="H51" s="4">
        <v>6491</v>
      </c>
      <c r="I51" s="4">
        <v>5386</v>
      </c>
      <c r="J51" s="4">
        <v>4670</v>
      </c>
      <c r="K51" s="4">
        <v>5055</v>
      </c>
      <c r="L51" s="4">
        <v>4993</v>
      </c>
      <c r="M51" s="4">
        <v>6470</v>
      </c>
      <c r="N51" s="4">
        <v>7559</v>
      </c>
    </row>
    <row r="52" spans="1:14" x14ac:dyDescent="0.3">
      <c r="A52" s="1" t="s">
        <v>65</v>
      </c>
      <c r="B52" s="3" t="s">
        <v>16</v>
      </c>
      <c r="C52" s="4">
        <v>0</v>
      </c>
      <c r="D52" s="4">
        <v>0</v>
      </c>
      <c r="E52" s="4">
        <v>1</v>
      </c>
      <c r="F52" s="4">
        <v>2</v>
      </c>
      <c r="G52" s="4">
        <v>1</v>
      </c>
      <c r="H52" s="4">
        <v>1</v>
      </c>
      <c r="I52" s="4">
        <v>2</v>
      </c>
      <c r="J52" s="4">
        <v>3</v>
      </c>
      <c r="K52" s="4">
        <v>2</v>
      </c>
      <c r="L52" s="4">
        <v>1</v>
      </c>
      <c r="M52" s="4">
        <v>2</v>
      </c>
      <c r="N52" s="4">
        <v>2</v>
      </c>
    </row>
    <row r="53" spans="1:14" x14ac:dyDescent="0.3">
      <c r="A53" s="1" t="s">
        <v>66</v>
      </c>
      <c r="B53" s="3" t="s">
        <v>16</v>
      </c>
      <c r="C53" s="4">
        <v>0</v>
      </c>
      <c r="D53" s="4">
        <v>0</v>
      </c>
      <c r="E53" s="4">
        <v>0</v>
      </c>
      <c r="F53" s="4">
        <v>0</v>
      </c>
      <c r="G53" s="4">
        <v>0</v>
      </c>
      <c r="H53" s="4">
        <v>0</v>
      </c>
      <c r="I53" s="4">
        <v>0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</row>
    <row r="54" spans="1:14" x14ac:dyDescent="0.3">
      <c r="A54" s="1" t="s">
        <v>67</v>
      </c>
      <c r="B54" s="1" t="s">
        <v>14</v>
      </c>
      <c r="C54" s="4">
        <v>0</v>
      </c>
      <c r="D54" s="4">
        <v>272</v>
      </c>
      <c r="E54" s="4">
        <v>187</v>
      </c>
      <c r="F54" s="4">
        <v>125</v>
      </c>
      <c r="G54" s="4">
        <v>8</v>
      </c>
      <c r="H54" s="4">
        <v>332</v>
      </c>
      <c r="I54" s="4">
        <v>957</v>
      </c>
      <c r="J54" s="4">
        <v>704</v>
      </c>
      <c r="K54" s="4">
        <v>645</v>
      </c>
      <c r="L54" s="4">
        <v>434</v>
      </c>
      <c r="M54" s="4">
        <v>549</v>
      </c>
      <c r="N54" s="4">
        <v>435</v>
      </c>
    </row>
    <row r="55" spans="1:14" x14ac:dyDescent="0.3">
      <c r="A55" s="1" t="s">
        <v>68</v>
      </c>
      <c r="B55" s="1" t="s">
        <v>14</v>
      </c>
      <c r="C55" s="4">
        <v>0</v>
      </c>
      <c r="D55" s="4">
        <v>123</v>
      </c>
      <c r="E55" s="4">
        <v>145</v>
      </c>
      <c r="F55" s="4">
        <v>191</v>
      </c>
      <c r="G55" s="4">
        <v>217</v>
      </c>
      <c r="H55" s="4">
        <v>336</v>
      </c>
      <c r="I55" s="4">
        <v>238</v>
      </c>
      <c r="J55" s="4">
        <v>160</v>
      </c>
      <c r="K55" s="4">
        <v>188</v>
      </c>
      <c r="L55" s="4">
        <v>191</v>
      </c>
      <c r="M55" s="4">
        <v>275</v>
      </c>
      <c r="N55" s="4">
        <v>345</v>
      </c>
    </row>
    <row r="56" spans="1:14" x14ac:dyDescent="0.3">
      <c r="A56" s="1" t="s">
        <v>69</v>
      </c>
      <c r="B56" s="1" t="s">
        <v>14</v>
      </c>
      <c r="C56" s="4">
        <v>0</v>
      </c>
      <c r="D56" s="4">
        <v>750</v>
      </c>
      <c r="E56" s="4">
        <v>777</v>
      </c>
      <c r="F56" s="4">
        <v>11</v>
      </c>
      <c r="G56" s="4">
        <v>740</v>
      </c>
      <c r="H56" s="4">
        <v>753</v>
      </c>
      <c r="I56" s="4">
        <v>671</v>
      </c>
      <c r="J56" s="4">
        <v>610</v>
      </c>
      <c r="K56" s="4">
        <v>484</v>
      </c>
      <c r="L56" s="4">
        <v>571</v>
      </c>
      <c r="M56" s="4">
        <v>526</v>
      </c>
      <c r="N56" s="4">
        <v>620</v>
      </c>
    </row>
    <row r="57" spans="1:14" x14ac:dyDescent="0.3">
      <c r="A57" s="1" t="s">
        <v>70</v>
      </c>
      <c r="B57" s="1" t="s">
        <v>14</v>
      </c>
      <c r="C57" s="4">
        <v>0</v>
      </c>
      <c r="D57" s="4">
        <v>90</v>
      </c>
      <c r="E57" s="4">
        <v>90</v>
      </c>
      <c r="F57" s="4">
        <v>160</v>
      </c>
      <c r="G57" s="4">
        <v>206</v>
      </c>
      <c r="H57" s="4">
        <v>213</v>
      </c>
      <c r="I57" s="4">
        <v>210</v>
      </c>
      <c r="J57" s="4">
        <v>194</v>
      </c>
      <c r="K57" s="4">
        <v>146</v>
      </c>
      <c r="L57" s="4">
        <v>144</v>
      </c>
      <c r="M57" s="4">
        <v>134</v>
      </c>
      <c r="N57" s="4">
        <v>103</v>
      </c>
    </row>
    <row r="58" spans="1:14" x14ac:dyDescent="0.3">
      <c r="A58" s="1" t="s">
        <v>71</v>
      </c>
      <c r="B58" s="1" t="s">
        <v>14</v>
      </c>
      <c r="C58" s="4">
        <v>0</v>
      </c>
      <c r="D58" s="4">
        <v>232</v>
      </c>
      <c r="E58" s="4">
        <v>331</v>
      </c>
      <c r="F58" s="4">
        <v>215</v>
      </c>
      <c r="G58" s="4">
        <v>457</v>
      </c>
      <c r="H58" s="4">
        <v>248</v>
      </c>
      <c r="I58" s="4">
        <v>270</v>
      </c>
      <c r="J58" s="4">
        <v>265</v>
      </c>
      <c r="K58" s="4">
        <v>280</v>
      </c>
      <c r="L58" s="4">
        <v>271</v>
      </c>
      <c r="M58" s="4">
        <v>442</v>
      </c>
      <c r="N58" s="4">
        <v>308</v>
      </c>
    </row>
    <row r="59" spans="1:14" x14ac:dyDescent="0.3">
      <c r="A59" s="1" t="s">
        <v>72</v>
      </c>
      <c r="B59" s="1" t="s">
        <v>14</v>
      </c>
      <c r="C59" s="4">
        <v>0</v>
      </c>
      <c r="D59" s="4">
        <v>323</v>
      </c>
      <c r="E59" s="4">
        <v>327</v>
      </c>
      <c r="F59" s="4">
        <v>314</v>
      </c>
      <c r="G59" s="4">
        <v>275</v>
      </c>
      <c r="H59" s="4">
        <v>299</v>
      </c>
      <c r="I59" s="4">
        <v>272</v>
      </c>
      <c r="J59" s="4">
        <v>278</v>
      </c>
      <c r="K59" s="4">
        <v>271</v>
      </c>
      <c r="L59" s="4">
        <v>260</v>
      </c>
      <c r="M59" s="4">
        <v>189</v>
      </c>
      <c r="N59" s="4">
        <v>168</v>
      </c>
    </row>
    <row r="60" spans="1:14" x14ac:dyDescent="0.3">
      <c r="A60" s="1" t="s">
        <v>73</v>
      </c>
      <c r="B60" s="1" t="s">
        <v>14</v>
      </c>
      <c r="C60" s="4">
        <v>0</v>
      </c>
      <c r="D60" s="4">
        <v>255</v>
      </c>
      <c r="E60" s="4">
        <v>240</v>
      </c>
      <c r="F60" s="4">
        <v>349</v>
      </c>
      <c r="G60" s="4">
        <v>354</v>
      </c>
      <c r="H60" s="4">
        <v>299</v>
      </c>
      <c r="I60" s="4">
        <v>308</v>
      </c>
      <c r="J60" s="4">
        <v>336</v>
      </c>
      <c r="K60" s="4">
        <v>341</v>
      </c>
      <c r="L60" s="4">
        <v>371</v>
      </c>
      <c r="M60" s="4">
        <v>418</v>
      </c>
      <c r="N60" s="4">
        <v>472</v>
      </c>
    </row>
    <row r="61" spans="1:14" x14ac:dyDescent="0.3">
      <c r="A61" s="1" t="s">
        <v>74</v>
      </c>
      <c r="B61" s="1" t="s">
        <v>75</v>
      </c>
      <c r="C61" s="4">
        <v>0</v>
      </c>
      <c r="D61" s="4">
        <v>0</v>
      </c>
      <c r="E61" s="4">
        <v>0</v>
      </c>
      <c r="F61" s="4">
        <v>0</v>
      </c>
      <c r="G61" s="4">
        <v>0</v>
      </c>
      <c r="H61" s="4">
        <v>0</v>
      </c>
      <c r="I61" s="4">
        <v>0</v>
      </c>
      <c r="J61" s="4">
        <v>9</v>
      </c>
      <c r="K61" s="4">
        <v>3</v>
      </c>
      <c r="L61" s="4">
        <v>4</v>
      </c>
      <c r="M61" s="4">
        <v>2</v>
      </c>
      <c r="N61" s="4">
        <v>3</v>
      </c>
    </row>
    <row r="62" spans="1:14" x14ac:dyDescent="0.3">
      <c r="A62" s="1" t="s">
        <v>76</v>
      </c>
      <c r="B62" s="1" t="s">
        <v>14</v>
      </c>
      <c r="C62" s="4">
        <v>0</v>
      </c>
      <c r="D62" s="4">
        <v>106</v>
      </c>
      <c r="E62" s="4">
        <v>75</v>
      </c>
      <c r="F62" s="4">
        <v>246</v>
      </c>
      <c r="G62" s="4">
        <v>355</v>
      </c>
      <c r="H62" s="4">
        <v>291</v>
      </c>
      <c r="I62" s="4">
        <v>286</v>
      </c>
      <c r="J62" s="4">
        <v>241</v>
      </c>
      <c r="K62" s="4">
        <v>197</v>
      </c>
      <c r="L62" s="4">
        <v>381</v>
      </c>
      <c r="M62" s="4">
        <v>362</v>
      </c>
      <c r="N62" s="4">
        <v>422</v>
      </c>
    </row>
    <row r="63" spans="1:14" x14ac:dyDescent="0.3">
      <c r="A63" s="1" t="s">
        <v>77</v>
      </c>
      <c r="B63" s="1" t="s">
        <v>75</v>
      </c>
      <c r="C63" s="4">
        <v>0</v>
      </c>
      <c r="D63" s="4">
        <v>126</v>
      </c>
      <c r="E63" s="4">
        <v>138</v>
      </c>
      <c r="F63" s="4">
        <v>156</v>
      </c>
      <c r="G63" s="4">
        <v>130</v>
      </c>
      <c r="H63" s="4">
        <v>143</v>
      </c>
      <c r="I63" s="4">
        <v>104</v>
      </c>
      <c r="J63" s="4">
        <v>138</v>
      </c>
      <c r="K63" s="4">
        <v>132</v>
      </c>
      <c r="L63" s="4">
        <v>133</v>
      </c>
      <c r="M63" s="4">
        <v>151</v>
      </c>
      <c r="N63" s="4">
        <v>163</v>
      </c>
    </row>
    <row r="64" spans="1:14" x14ac:dyDescent="0.3">
      <c r="A64" s="1" t="s">
        <v>78</v>
      </c>
      <c r="B64" s="1" t="s">
        <v>14</v>
      </c>
      <c r="C64" s="4">
        <v>0</v>
      </c>
      <c r="D64" s="4">
        <v>538</v>
      </c>
      <c r="E64" s="4">
        <v>928</v>
      </c>
      <c r="F64" s="4">
        <v>966</v>
      </c>
      <c r="G64" s="4">
        <v>1140</v>
      </c>
      <c r="H64" s="4">
        <v>1502</v>
      </c>
      <c r="I64" s="4">
        <v>1452</v>
      </c>
      <c r="J64" s="4">
        <v>1208</v>
      </c>
      <c r="K64" s="4">
        <v>1479</v>
      </c>
      <c r="L64" s="4">
        <v>1532</v>
      </c>
      <c r="M64" s="4">
        <v>1504</v>
      </c>
      <c r="N64" s="4">
        <v>1647</v>
      </c>
    </row>
    <row r="65" spans="1:14" x14ac:dyDescent="0.3">
      <c r="A65" s="1" t="s">
        <v>79</v>
      </c>
      <c r="B65" s="1" t="s">
        <v>14</v>
      </c>
      <c r="C65" s="4">
        <v>0</v>
      </c>
      <c r="D65" s="4">
        <v>244</v>
      </c>
      <c r="E65" s="4">
        <v>215</v>
      </c>
      <c r="F65" s="4">
        <v>262</v>
      </c>
      <c r="G65" s="4">
        <v>325</v>
      </c>
      <c r="H65" s="4">
        <v>313</v>
      </c>
      <c r="I65" s="4">
        <v>324</v>
      </c>
      <c r="J65" s="4">
        <v>292</v>
      </c>
      <c r="K65" s="4">
        <v>251</v>
      </c>
      <c r="L65" s="4">
        <v>302</v>
      </c>
      <c r="M65" s="4">
        <v>258</v>
      </c>
      <c r="N65" s="4">
        <v>312</v>
      </c>
    </row>
    <row r="66" spans="1:14" x14ac:dyDescent="0.3">
      <c r="A66" s="1" t="s">
        <v>80</v>
      </c>
      <c r="B66" s="3" t="s">
        <v>16</v>
      </c>
      <c r="C66" s="4">
        <v>0</v>
      </c>
      <c r="D66" s="4">
        <v>554</v>
      </c>
      <c r="E66" s="4">
        <v>507</v>
      </c>
      <c r="F66" s="4">
        <v>462</v>
      </c>
      <c r="G66" s="4">
        <v>535</v>
      </c>
      <c r="H66" s="4">
        <v>408</v>
      </c>
      <c r="I66" s="4">
        <v>232</v>
      </c>
      <c r="J66" s="4">
        <v>222</v>
      </c>
      <c r="K66" s="4">
        <v>227</v>
      </c>
      <c r="L66" s="4">
        <v>224</v>
      </c>
      <c r="M66" s="4">
        <v>599</v>
      </c>
      <c r="N66" s="4">
        <v>744</v>
      </c>
    </row>
    <row r="67" spans="1:14" x14ac:dyDescent="0.3">
      <c r="A67" s="1" t="s">
        <v>81</v>
      </c>
      <c r="B67" s="1" t="s">
        <v>14</v>
      </c>
      <c r="C67" s="4">
        <v>0</v>
      </c>
      <c r="D67" s="4">
        <v>1</v>
      </c>
      <c r="E67" s="4">
        <v>106</v>
      </c>
      <c r="F67" s="4">
        <v>120</v>
      </c>
      <c r="G67" s="4">
        <v>114</v>
      </c>
      <c r="H67" s="4">
        <v>134</v>
      </c>
      <c r="I67" s="4">
        <v>123</v>
      </c>
      <c r="J67" s="4">
        <v>131</v>
      </c>
      <c r="K67" s="4">
        <v>125</v>
      </c>
      <c r="L67" s="4">
        <v>109</v>
      </c>
      <c r="M67" s="4">
        <v>98</v>
      </c>
      <c r="N67" s="4">
        <v>97</v>
      </c>
    </row>
    <row r="68" spans="1:14" x14ac:dyDescent="0.3">
      <c r="A68" s="1" t="s">
        <v>82</v>
      </c>
      <c r="B68" s="1" t="s">
        <v>14</v>
      </c>
      <c r="C68" s="4">
        <v>0</v>
      </c>
      <c r="D68" s="4">
        <v>68</v>
      </c>
      <c r="E68" s="4">
        <v>21</v>
      </c>
      <c r="F68" s="4">
        <v>51</v>
      </c>
      <c r="G68" s="4">
        <v>48</v>
      </c>
      <c r="H68" s="4">
        <v>59</v>
      </c>
      <c r="I68" s="4">
        <v>50</v>
      </c>
      <c r="J68" s="4">
        <v>73</v>
      </c>
      <c r="K68" s="4">
        <v>19</v>
      </c>
      <c r="L68" s="4">
        <v>0</v>
      </c>
      <c r="M68" s="4">
        <v>0</v>
      </c>
      <c r="N68" s="4">
        <v>0</v>
      </c>
    </row>
    <row r="69" spans="1:14" x14ac:dyDescent="0.3">
      <c r="A69" s="1" t="s">
        <v>83</v>
      </c>
      <c r="B69" s="1" t="s">
        <v>75</v>
      </c>
      <c r="C69" s="4">
        <v>0</v>
      </c>
      <c r="D69" s="4">
        <v>2056</v>
      </c>
      <c r="E69" s="4">
        <v>2428</v>
      </c>
      <c r="F69" s="4">
        <v>2264</v>
      </c>
      <c r="G69" s="4">
        <v>2065</v>
      </c>
      <c r="H69" s="4">
        <v>2312</v>
      </c>
      <c r="I69" s="4">
        <v>1682</v>
      </c>
      <c r="J69" s="4">
        <v>3243</v>
      </c>
      <c r="K69" s="4">
        <v>3440</v>
      </c>
      <c r="L69" s="4">
        <v>3035</v>
      </c>
      <c r="M69" s="4">
        <v>3383</v>
      </c>
      <c r="N69" s="4">
        <v>3861</v>
      </c>
    </row>
    <row r="70" spans="1:14" x14ac:dyDescent="0.3">
      <c r="A70" s="1" t="s">
        <v>84</v>
      </c>
      <c r="B70" s="1" t="s">
        <v>14</v>
      </c>
      <c r="C70" s="4">
        <v>0</v>
      </c>
      <c r="D70" s="4">
        <v>82</v>
      </c>
      <c r="E70" s="4">
        <v>132</v>
      </c>
      <c r="F70" s="4">
        <v>190</v>
      </c>
      <c r="G70" s="4">
        <v>194</v>
      </c>
      <c r="H70" s="4">
        <v>190</v>
      </c>
      <c r="I70" s="4">
        <v>170</v>
      </c>
      <c r="J70" s="4">
        <v>239</v>
      </c>
      <c r="K70" s="4">
        <v>193</v>
      </c>
      <c r="L70" s="4">
        <v>106</v>
      </c>
      <c r="M70" s="4">
        <v>692</v>
      </c>
      <c r="N70" s="4">
        <v>190</v>
      </c>
    </row>
    <row r="71" spans="1:14" x14ac:dyDescent="0.3">
      <c r="A71" s="1" t="s">
        <v>85</v>
      </c>
      <c r="B71" s="2">
        <v>0</v>
      </c>
      <c r="C71" s="4">
        <v>3</v>
      </c>
      <c r="D71" s="4">
        <v>0</v>
      </c>
      <c r="E71" s="4">
        <v>0</v>
      </c>
      <c r="F71" s="4">
        <v>0</v>
      </c>
      <c r="G71" s="4">
        <v>0</v>
      </c>
      <c r="H71" s="4">
        <v>0</v>
      </c>
      <c r="I71" s="4">
        <v>0</v>
      </c>
      <c r="J71" s="4">
        <v>0</v>
      </c>
      <c r="K71" s="4">
        <v>0</v>
      </c>
      <c r="L71" s="4">
        <v>0</v>
      </c>
      <c r="M71" s="4">
        <v>0</v>
      </c>
      <c r="N71" s="4">
        <v>0</v>
      </c>
    </row>
    <row r="72" spans="1:14" x14ac:dyDescent="0.3">
      <c r="A72" s="1" t="s">
        <v>86</v>
      </c>
      <c r="B72" s="1" t="s">
        <v>14</v>
      </c>
      <c r="C72" s="4">
        <v>0</v>
      </c>
      <c r="D72" s="4">
        <v>127</v>
      </c>
      <c r="E72" s="4">
        <v>118</v>
      </c>
      <c r="F72" s="4">
        <v>130</v>
      </c>
      <c r="G72" s="4">
        <v>136</v>
      </c>
      <c r="H72" s="4">
        <v>163</v>
      </c>
      <c r="I72" s="4">
        <v>101</v>
      </c>
      <c r="J72" s="4">
        <v>93</v>
      </c>
      <c r="K72" s="4">
        <v>122</v>
      </c>
      <c r="L72" s="4">
        <v>128</v>
      </c>
      <c r="M72" s="4">
        <v>122</v>
      </c>
      <c r="N72" s="4">
        <v>140</v>
      </c>
    </row>
    <row r="73" spans="1:14" x14ac:dyDescent="0.3">
      <c r="A73" s="1" t="s">
        <v>87</v>
      </c>
      <c r="B73" s="1" t="s">
        <v>14</v>
      </c>
      <c r="C73" s="4">
        <v>0</v>
      </c>
      <c r="D73" s="4">
        <v>700</v>
      </c>
      <c r="E73" s="4">
        <v>604</v>
      </c>
      <c r="F73" s="4">
        <v>808</v>
      </c>
      <c r="G73" s="4">
        <v>668</v>
      </c>
      <c r="H73" s="4">
        <v>737</v>
      </c>
      <c r="I73" s="4">
        <v>564</v>
      </c>
      <c r="J73" s="4">
        <v>548</v>
      </c>
      <c r="K73" s="4">
        <v>472</v>
      </c>
      <c r="L73" s="4">
        <v>534</v>
      </c>
      <c r="M73" s="4">
        <v>372</v>
      </c>
      <c r="N73" s="4">
        <v>472</v>
      </c>
    </row>
    <row r="74" spans="1:14" x14ac:dyDescent="0.3">
      <c r="A74" s="1" t="s">
        <v>88</v>
      </c>
      <c r="B74" s="1" t="s">
        <v>14</v>
      </c>
      <c r="C74" s="4">
        <v>0</v>
      </c>
      <c r="D74" s="4">
        <v>215</v>
      </c>
      <c r="E74" s="4">
        <v>205</v>
      </c>
      <c r="F74" s="4">
        <v>231</v>
      </c>
      <c r="G74" s="4">
        <v>247</v>
      </c>
      <c r="H74" s="4">
        <v>292</v>
      </c>
      <c r="I74" s="4">
        <v>246</v>
      </c>
      <c r="J74" s="4">
        <v>214</v>
      </c>
      <c r="K74" s="4">
        <v>187</v>
      </c>
      <c r="L74" s="4">
        <v>191</v>
      </c>
      <c r="M74" s="4">
        <v>205</v>
      </c>
      <c r="N74" s="4">
        <v>247</v>
      </c>
    </row>
    <row r="75" spans="1:14" x14ac:dyDescent="0.3">
      <c r="A75" s="1" t="s">
        <v>89</v>
      </c>
      <c r="B75" s="1" t="s">
        <v>14</v>
      </c>
      <c r="C75" s="4">
        <v>0</v>
      </c>
      <c r="D75" s="4">
        <v>271</v>
      </c>
      <c r="E75" s="4">
        <v>264</v>
      </c>
      <c r="F75" s="4">
        <v>289</v>
      </c>
      <c r="G75" s="4">
        <v>253</v>
      </c>
      <c r="H75" s="4">
        <v>330</v>
      </c>
      <c r="I75" s="4">
        <v>255</v>
      </c>
      <c r="J75" s="4">
        <v>269</v>
      </c>
      <c r="K75" s="4">
        <v>258</v>
      </c>
      <c r="L75" s="4">
        <v>262</v>
      </c>
      <c r="M75" s="4">
        <v>287</v>
      </c>
      <c r="N75" s="4">
        <v>293</v>
      </c>
    </row>
    <row r="76" spans="1:14" x14ac:dyDescent="0.3">
      <c r="A76" s="1" t="s">
        <v>90</v>
      </c>
      <c r="B76" s="1" t="s">
        <v>14</v>
      </c>
      <c r="C76" s="4">
        <v>0</v>
      </c>
      <c r="D76" s="4">
        <v>60</v>
      </c>
      <c r="E76" s="4">
        <v>69</v>
      </c>
      <c r="F76" s="4">
        <v>73</v>
      </c>
      <c r="G76" s="4">
        <v>65</v>
      </c>
      <c r="H76" s="4">
        <v>75</v>
      </c>
      <c r="I76" s="4">
        <v>69</v>
      </c>
      <c r="J76" s="4">
        <v>74</v>
      </c>
      <c r="K76" s="4">
        <v>108</v>
      </c>
      <c r="L76" s="4">
        <v>105</v>
      </c>
      <c r="M76" s="4">
        <v>96</v>
      </c>
      <c r="N76" s="4">
        <v>105</v>
      </c>
    </row>
    <row r="77" spans="1:14" x14ac:dyDescent="0.3">
      <c r="A77" s="1" t="s">
        <v>91</v>
      </c>
      <c r="B77" s="1" t="s">
        <v>14</v>
      </c>
      <c r="C77" s="4">
        <v>0</v>
      </c>
      <c r="D77" s="4">
        <v>0</v>
      </c>
      <c r="E77" s="4">
        <v>0</v>
      </c>
      <c r="F77" s="4">
        <v>0</v>
      </c>
      <c r="G77" s="4">
        <v>0</v>
      </c>
      <c r="H77" s="4">
        <v>0</v>
      </c>
      <c r="I77" s="4">
        <v>0</v>
      </c>
      <c r="J77" s="4">
        <v>0</v>
      </c>
      <c r="K77" s="4">
        <v>0</v>
      </c>
      <c r="L77" s="4">
        <v>0</v>
      </c>
      <c r="M77" s="4">
        <v>0</v>
      </c>
      <c r="N77" s="4">
        <v>0</v>
      </c>
    </row>
    <row r="78" spans="1:14" x14ac:dyDescent="0.3">
      <c r="A78" s="1" t="s">
        <v>92</v>
      </c>
      <c r="B78" s="1" t="s">
        <v>14</v>
      </c>
      <c r="C78" s="4">
        <v>0</v>
      </c>
      <c r="D78" s="4">
        <v>0</v>
      </c>
      <c r="E78" s="4">
        <v>0</v>
      </c>
      <c r="F78" s="4">
        <v>0</v>
      </c>
      <c r="G78" s="4">
        <v>0</v>
      </c>
      <c r="H78" s="4">
        <v>0</v>
      </c>
      <c r="I78" s="4">
        <v>0</v>
      </c>
      <c r="J78" s="4">
        <v>0</v>
      </c>
      <c r="K78" s="4">
        <v>0</v>
      </c>
      <c r="L78" s="4">
        <v>0</v>
      </c>
      <c r="M78" s="4">
        <v>0</v>
      </c>
      <c r="N78" s="4">
        <v>0</v>
      </c>
    </row>
    <row r="79" spans="1:14" x14ac:dyDescent="0.3">
      <c r="A79" s="1" t="s">
        <v>93</v>
      </c>
      <c r="B79" s="1" t="s">
        <v>14</v>
      </c>
      <c r="C79" s="4">
        <v>0</v>
      </c>
      <c r="D79" s="4">
        <v>170</v>
      </c>
      <c r="E79" s="4">
        <v>145</v>
      </c>
      <c r="F79" s="4">
        <v>177</v>
      </c>
      <c r="G79" s="4">
        <v>162</v>
      </c>
      <c r="H79" s="4">
        <v>201</v>
      </c>
      <c r="I79" s="4">
        <v>139</v>
      </c>
      <c r="J79" s="4">
        <v>165</v>
      </c>
      <c r="K79" s="4">
        <v>166</v>
      </c>
      <c r="L79" s="4">
        <v>122</v>
      </c>
      <c r="M79" s="4">
        <v>122</v>
      </c>
      <c r="N79" s="4">
        <v>146</v>
      </c>
    </row>
    <row r="80" spans="1:14" x14ac:dyDescent="0.3">
      <c r="A80" s="1" t="s">
        <v>94</v>
      </c>
      <c r="B80" s="1" t="s">
        <v>14</v>
      </c>
      <c r="C80" s="4">
        <v>0</v>
      </c>
      <c r="D80" s="4">
        <v>30</v>
      </c>
      <c r="E80" s="4">
        <v>33</v>
      </c>
      <c r="F80" s="4">
        <v>23</v>
      </c>
      <c r="G80" s="4">
        <v>134</v>
      </c>
      <c r="H80" s="4">
        <v>70</v>
      </c>
      <c r="I80" s="4">
        <v>73</v>
      </c>
      <c r="J80" s="4">
        <v>45</v>
      </c>
      <c r="K80" s="4">
        <v>53</v>
      </c>
      <c r="L80" s="4">
        <v>36</v>
      </c>
      <c r="M80" s="4">
        <v>109</v>
      </c>
      <c r="N80" s="4">
        <v>36</v>
      </c>
    </row>
    <row r="81" spans="1:14" x14ac:dyDescent="0.3">
      <c r="A81" s="1" t="s">
        <v>95</v>
      </c>
      <c r="B81" s="1" t="s">
        <v>75</v>
      </c>
      <c r="C81" s="4">
        <v>0</v>
      </c>
      <c r="D81" s="4">
        <v>1443</v>
      </c>
      <c r="E81" s="4">
        <v>1635</v>
      </c>
      <c r="F81" s="4">
        <v>1470</v>
      </c>
      <c r="G81" s="4">
        <v>1464</v>
      </c>
      <c r="H81" s="4">
        <v>1628</v>
      </c>
      <c r="I81" s="4">
        <v>1746</v>
      </c>
      <c r="J81" s="4">
        <v>1797</v>
      </c>
      <c r="K81" s="4">
        <v>1974</v>
      </c>
      <c r="L81" s="4">
        <v>1787</v>
      </c>
      <c r="M81" s="4">
        <v>1750</v>
      </c>
      <c r="N81" s="4">
        <v>1718</v>
      </c>
    </row>
    <row r="82" spans="1:14" x14ac:dyDescent="0.3">
      <c r="A82" s="1" t="s">
        <v>96</v>
      </c>
      <c r="B82" s="1" t="s">
        <v>14</v>
      </c>
      <c r="C82" s="4">
        <v>0</v>
      </c>
      <c r="D82" s="4">
        <v>94</v>
      </c>
      <c r="E82" s="4">
        <v>176</v>
      </c>
      <c r="F82" s="4">
        <v>190</v>
      </c>
      <c r="G82" s="4">
        <v>185</v>
      </c>
      <c r="H82" s="4">
        <v>168</v>
      </c>
      <c r="I82" s="4">
        <v>228</v>
      </c>
      <c r="J82" s="4">
        <v>171</v>
      </c>
      <c r="K82" s="4">
        <v>244</v>
      </c>
      <c r="L82" s="4">
        <v>236</v>
      </c>
      <c r="M82" s="4">
        <v>258</v>
      </c>
      <c r="N82" s="4">
        <v>381</v>
      </c>
    </row>
    <row r="83" spans="1:14" x14ac:dyDescent="0.3">
      <c r="A83" s="1" t="s">
        <v>97</v>
      </c>
      <c r="B83" s="1" t="s">
        <v>14</v>
      </c>
      <c r="C83" s="4">
        <v>0</v>
      </c>
      <c r="D83" s="4">
        <v>33</v>
      </c>
      <c r="E83" s="4">
        <v>35</v>
      </c>
      <c r="F83" s="4">
        <v>72</v>
      </c>
      <c r="G83" s="4">
        <v>76</v>
      </c>
      <c r="H83" s="4">
        <v>75</v>
      </c>
      <c r="I83" s="4">
        <v>27</v>
      </c>
      <c r="J83" s="4">
        <v>32</v>
      </c>
      <c r="K83" s="4">
        <v>25</v>
      </c>
      <c r="L83" s="4">
        <v>39</v>
      </c>
      <c r="M83" s="4">
        <v>39</v>
      </c>
      <c r="N83" s="4">
        <v>43</v>
      </c>
    </row>
    <row r="84" spans="1:14" x14ac:dyDescent="0.3">
      <c r="A84" s="1" t="s">
        <v>98</v>
      </c>
      <c r="B84" s="1" t="s">
        <v>14</v>
      </c>
      <c r="C84" s="4">
        <v>0</v>
      </c>
      <c r="D84" s="4">
        <v>73</v>
      </c>
      <c r="E84" s="4">
        <v>71</v>
      </c>
      <c r="F84" s="4">
        <v>59</v>
      </c>
      <c r="G84" s="4">
        <v>69</v>
      </c>
      <c r="H84" s="4">
        <v>86</v>
      </c>
      <c r="I84" s="4">
        <v>96</v>
      </c>
      <c r="J84" s="4">
        <v>94</v>
      </c>
      <c r="K84" s="4">
        <v>130</v>
      </c>
      <c r="L84" s="4">
        <v>115</v>
      </c>
      <c r="M84" s="4">
        <v>123</v>
      </c>
      <c r="N84" s="4">
        <v>128</v>
      </c>
    </row>
    <row r="85" spans="1:14" x14ac:dyDescent="0.3">
      <c r="A85" s="1" t="s">
        <v>99</v>
      </c>
      <c r="B85" s="1" t="s">
        <v>14</v>
      </c>
      <c r="C85" s="4">
        <v>0</v>
      </c>
      <c r="D85" s="4">
        <v>96</v>
      </c>
      <c r="E85" s="4">
        <v>78</v>
      </c>
      <c r="F85" s="4">
        <v>128</v>
      </c>
      <c r="G85" s="4">
        <v>137</v>
      </c>
      <c r="H85" s="4">
        <v>135</v>
      </c>
      <c r="I85" s="4">
        <v>157</v>
      </c>
      <c r="J85" s="4">
        <v>138</v>
      </c>
      <c r="K85" s="4">
        <v>145</v>
      </c>
      <c r="L85" s="4">
        <v>158</v>
      </c>
      <c r="M85" s="4">
        <v>162</v>
      </c>
      <c r="N85" s="4">
        <v>166</v>
      </c>
    </row>
    <row r="86" spans="1:14" x14ac:dyDescent="0.3">
      <c r="A86" s="1" t="s">
        <v>100</v>
      </c>
      <c r="B86" s="1" t="s">
        <v>14</v>
      </c>
      <c r="C86" s="4">
        <v>0</v>
      </c>
      <c r="D86" s="4">
        <v>821</v>
      </c>
      <c r="E86" s="4">
        <v>1088</v>
      </c>
      <c r="F86" s="4">
        <v>993</v>
      </c>
      <c r="G86" s="4">
        <v>801</v>
      </c>
      <c r="H86" s="4">
        <v>828</v>
      </c>
      <c r="I86" s="4">
        <v>896</v>
      </c>
      <c r="J86" s="4">
        <v>757</v>
      </c>
      <c r="K86" s="4">
        <v>637</v>
      </c>
      <c r="L86" s="4">
        <v>446</v>
      </c>
      <c r="M86" s="4">
        <v>553</v>
      </c>
      <c r="N86" s="4">
        <v>516</v>
      </c>
    </row>
    <row r="87" spans="1:14" x14ac:dyDescent="0.3">
      <c r="A87" s="1" t="s">
        <v>101</v>
      </c>
      <c r="B87" s="1" t="s">
        <v>14</v>
      </c>
      <c r="C87" s="4">
        <v>0</v>
      </c>
      <c r="D87" s="4">
        <v>0</v>
      </c>
      <c r="E87" s="4">
        <v>0</v>
      </c>
      <c r="F87" s="4">
        <v>0</v>
      </c>
      <c r="G87" s="4">
        <v>0</v>
      </c>
      <c r="H87" s="4">
        <v>0</v>
      </c>
      <c r="I87" s="4">
        <v>0</v>
      </c>
      <c r="J87" s="4">
        <v>0</v>
      </c>
      <c r="K87" s="4">
        <v>0</v>
      </c>
      <c r="L87" s="4">
        <v>0</v>
      </c>
      <c r="M87" s="4">
        <v>0</v>
      </c>
      <c r="N87" s="4">
        <v>0</v>
      </c>
    </row>
    <row r="88" spans="1:14" x14ac:dyDescent="0.3">
      <c r="A88" s="1" t="s">
        <v>102</v>
      </c>
      <c r="B88" s="1" t="s">
        <v>14</v>
      </c>
      <c r="C88" s="4">
        <v>0</v>
      </c>
      <c r="D88" s="4">
        <v>0</v>
      </c>
      <c r="E88" s="4">
        <v>0</v>
      </c>
      <c r="F88" s="4">
        <v>0</v>
      </c>
      <c r="G88" s="4">
        <v>0</v>
      </c>
      <c r="H88" s="4">
        <v>0</v>
      </c>
      <c r="I88" s="4">
        <v>0</v>
      </c>
      <c r="J88" s="4">
        <v>0</v>
      </c>
      <c r="K88" s="4">
        <v>21</v>
      </c>
      <c r="L88" s="4">
        <v>1</v>
      </c>
      <c r="M88" s="4">
        <v>0</v>
      </c>
      <c r="N88" s="4">
        <v>0</v>
      </c>
    </row>
    <row r="89" spans="1:14" x14ac:dyDescent="0.3">
      <c r="A89" s="1" t="s">
        <v>103</v>
      </c>
      <c r="B89" s="1" t="s">
        <v>14</v>
      </c>
      <c r="C89" s="4">
        <v>0</v>
      </c>
      <c r="D89" s="4">
        <v>258</v>
      </c>
      <c r="E89" s="4">
        <v>340</v>
      </c>
      <c r="F89" s="4">
        <v>343</v>
      </c>
      <c r="G89" s="4">
        <v>288</v>
      </c>
      <c r="H89" s="4">
        <v>320</v>
      </c>
      <c r="I89" s="4">
        <v>277</v>
      </c>
      <c r="J89" s="4">
        <v>279</v>
      </c>
      <c r="K89" s="4">
        <v>267</v>
      </c>
      <c r="L89" s="4">
        <v>302</v>
      </c>
      <c r="M89" s="4">
        <v>328</v>
      </c>
      <c r="N89" s="4">
        <v>436</v>
      </c>
    </row>
    <row r="90" spans="1:14" x14ac:dyDescent="0.3">
      <c r="A90" s="1" t="s">
        <v>104</v>
      </c>
      <c r="B90" s="1" t="s">
        <v>14</v>
      </c>
      <c r="C90" s="4">
        <v>0</v>
      </c>
      <c r="D90" s="4">
        <v>0</v>
      </c>
      <c r="E90" s="4">
        <v>0</v>
      </c>
      <c r="F90" s="4">
        <v>0</v>
      </c>
      <c r="G90" s="4">
        <v>0</v>
      </c>
      <c r="H90" s="4">
        <v>0</v>
      </c>
      <c r="I90" s="4">
        <v>0</v>
      </c>
      <c r="J90" s="4">
        <v>0</v>
      </c>
      <c r="K90" s="4">
        <v>0</v>
      </c>
      <c r="L90" s="4">
        <v>0</v>
      </c>
      <c r="M90" s="4">
        <v>0</v>
      </c>
      <c r="N90" s="4">
        <v>0</v>
      </c>
    </row>
    <row r="91" spans="1:14" x14ac:dyDescent="0.3">
      <c r="A91" s="1" t="s">
        <v>105</v>
      </c>
      <c r="B91" s="1" t="s">
        <v>14</v>
      </c>
      <c r="C91" s="4">
        <v>0</v>
      </c>
      <c r="D91" s="4">
        <v>1417</v>
      </c>
      <c r="E91" s="4">
        <v>1452</v>
      </c>
      <c r="F91" s="4">
        <v>1421</v>
      </c>
      <c r="G91" s="4">
        <v>1158</v>
      </c>
      <c r="H91" s="4">
        <v>1360</v>
      </c>
      <c r="I91" s="4">
        <v>1099</v>
      </c>
      <c r="J91" s="4">
        <v>1066</v>
      </c>
      <c r="K91" s="4">
        <v>1146</v>
      </c>
      <c r="L91" s="4">
        <v>996</v>
      </c>
      <c r="M91" s="4">
        <v>1152</v>
      </c>
      <c r="N91" s="4">
        <v>1384</v>
      </c>
    </row>
    <row r="92" spans="1:14" x14ac:dyDescent="0.3">
      <c r="A92" s="1" t="s">
        <v>106</v>
      </c>
      <c r="B92" s="1" t="s">
        <v>14</v>
      </c>
      <c r="C92" s="4">
        <v>0</v>
      </c>
      <c r="D92" s="4">
        <v>42</v>
      </c>
      <c r="E92" s="4">
        <v>41</v>
      </c>
      <c r="F92" s="4">
        <v>115</v>
      </c>
      <c r="G92" s="4">
        <v>112</v>
      </c>
      <c r="H92" s="4">
        <v>77</v>
      </c>
      <c r="I92" s="4">
        <v>54</v>
      </c>
      <c r="J92" s="4">
        <v>52</v>
      </c>
      <c r="K92" s="4">
        <v>52</v>
      </c>
      <c r="L92" s="4">
        <v>60</v>
      </c>
      <c r="M92" s="4">
        <v>54</v>
      </c>
      <c r="N92" s="4">
        <v>66</v>
      </c>
    </row>
    <row r="93" spans="1:14" x14ac:dyDescent="0.3">
      <c r="A93" s="1" t="s">
        <v>107</v>
      </c>
      <c r="B93" s="1" t="s">
        <v>14</v>
      </c>
      <c r="C93" s="4">
        <v>0</v>
      </c>
      <c r="D93" s="4">
        <v>75</v>
      </c>
      <c r="E93" s="4">
        <v>78</v>
      </c>
      <c r="F93" s="4">
        <v>78</v>
      </c>
      <c r="G93" s="4">
        <v>65</v>
      </c>
      <c r="H93" s="4">
        <v>66</v>
      </c>
      <c r="I93" s="4">
        <v>82</v>
      </c>
      <c r="J93" s="4">
        <v>68</v>
      </c>
      <c r="K93" s="4">
        <v>48</v>
      </c>
      <c r="L93" s="4">
        <v>77</v>
      </c>
      <c r="M93" s="4">
        <v>106</v>
      </c>
      <c r="N93" s="4">
        <v>133</v>
      </c>
    </row>
    <row r="94" spans="1:14" x14ac:dyDescent="0.3">
      <c r="A94" s="1" t="s">
        <v>108</v>
      </c>
      <c r="B94" s="1" t="s">
        <v>14</v>
      </c>
      <c r="C94" s="4">
        <v>0</v>
      </c>
      <c r="D94" s="4">
        <v>108</v>
      </c>
      <c r="E94" s="4">
        <v>111</v>
      </c>
      <c r="F94" s="4">
        <v>172</v>
      </c>
      <c r="G94" s="4">
        <v>185</v>
      </c>
      <c r="H94" s="4">
        <v>181</v>
      </c>
      <c r="I94" s="4">
        <v>175</v>
      </c>
      <c r="J94" s="4">
        <v>158</v>
      </c>
      <c r="K94" s="4">
        <v>169</v>
      </c>
      <c r="L94" s="4">
        <v>167</v>
      </c>
      <c r="M94" s="4">
        <v>177</v>
      </c>
      <c r="N94" s="4">
        <v>199</v>
      </c>
    </row>
    <row r="95" spans="1:14" x14ac:dyDescent="0.3">
      <c r="A95" s="1" t="s">
        <v>109</v>
      </c>
      <c r="B95" s="1" t="s">
        <v>14</v>
      </c>
      <c r="C95" s="4">
        <v>0</v>
      </c>
      <c r="D95" s="4">
        <v>110</v>
      </c>
      <c r="E95" s="4">
        <v>230</v>
      </c>
      <c r="F95" s="4">
        <v>226</v>
      </c>
      <c r="G95" s="4">
        <v>262</v>
      </c>
      <c r="H95" s="4">
        <v>241</v>
      </c>
      <c r="I95" s="4">
        <v>212</v>
      </c>
      <c r="J95" s="4">
        <v>150</v>
      </c>
      <c r="K95" s="4">
        <v>190</v>
      </c>
      <c r="L95" s="4">
        <v>176</v>
      </c>
      <c r="M95" s="4">
        <v>208</v>
      </c>
      <c r="N95" s="4">
        <v>336</v>
      </c>
    </row>
    <row r="96" spans="1:14" x14ac:dyDescent="0.3">
      <c r="A96" s="1" t="s">
        <v>110</v>
      </c>
      <c r="B96" s="1" t="s">
        <v>75</v>
      </c>
      <c r="C96" s="4">
        <v>0</v>
      </c>
      <c r="D96" s="4">
        <v>1025</v>
      </c>
      <c r="E96" s="4">
        <v>1162</v>
      </c>
      <c r="F96" s="4">
        <v>1105</v>
      </c>
      <c r="G96" s="4">
        <v>1020</v>
      </c>
      <c r="H96" s="4">
        <v>1151</v>
      </c>
      <c r="I96" s="4">
        <v>1023</v>
      </c>
      <c r="J96" s="4">
        <v>1008</v>
      </c>
      <c r="K96" s="4">
        <v>1237</v>
      </c>
      <c r="L96" s="4">
        <v>1133</v>
      </c>
      <c r="M96" s="4">
        <v>822</v>
      </c>
      <c r="N96" s="4">
        <v>755</v>
      </c>
    </row>
    <row r="97" spans="1:14" x14ac:dyDescent="0.3">
      <c r="A97" s="1" t="s">
        <v>111</v>
      </c>
      <c r="B97" s="1" t="s">
        <v>14</v>
      </c>
      <c r="C97" s="4">
        <v>0</v>
      </c>
      <c r="D97" s="4">
        <v>96</v>
      </c>
      <c r="E97" s="4">
        <v>189</v>
      </c>
      <c r="F97" s="4">
        <v>187</v>
      </c>
      <c r="G97" s="4">
        <v>200</v>
      </c>
      <c r="H97" s="4">
        <v>196</v>
      </c>
      <c r="I97" s="4">
        <v>225</v>
      </c>
      <c r="J97" s="4">
        <v>201</v>
      </c>
      <c r="K97" s="4">
        <v>147</v>
      </c>
      <c r="L97" s="4">
        <v>151</v>
      </c>
      <c r="M97" s="4">
        <v>162</v>
      </c>
      <c r="N97" s="4">
        <v>75</v>
      </c>
    </row>
    <row r="98" spans="1:14" x14ac:dyDescent="0.3">
      <c r="A98" s="1" t="s">
        <v>112</v>
      </c>
      <c r="B98" s="1" t="s">
        <v>14</v>
      </c>
      <c r="C98" s="4">
        <v>0</v>
      </c>
      <c r="D98" s="4">
        <v>0</v>
      </c>
      <c r="E98" s="4">
        <v>0</v>
      </c>
      <c r="F98" s="4">
        <v>0</v>
      </c>
      <c r="G98" s="4">
        <v>0</v>
      </c>
      <c r="H98" s="4">
        <v>0</v>
      </c>
      <c r="I98" s="4">
        <v>0</v>
      </c>
      <c r="J98" s="4">
        <v>0</v>
      </c>
      <c r="K98" s="4">
        <v>0</v>
      </c>
      <c r="L98" s="4">
        <v>0</v>
      </c>
      <c r="M98" s="4">
        <v>0</v>
      </c>
      <c r="N98" s="4">
        <v>0</v>
      </c>
    </row>
    <row r="99" spans="1:14" x14ac:dyDescent="0.3">
      <c r="A99" s="1" t="s">
        <v>113</v>
      </c>
      <c r="B99" s="3" t="s">
        <v>16</v>
      </c>
      <c r="C99" s="4">
        <v>0</v>
      </c>
      <c r="D99" s="4">
        <v>0</v>
      </c>
      <c r="E99" s="4">
        <v>0</v>
      </c>
      <c r="F99" s="4">
        <v>0</v>
      </c>
      <c r="G99" s="4">
        <v>0</v>
      </c>
      <c r="H99" s="4">
        <v>0</v>
      </c>
      <c r="I99" s="4">
        <v>0</v>
      </c>
      <c r="J99" s="4">
        <v>0</v>
      </c>
      <c r="K99" s="4">
        <v>0</v>
      </c>
      <c r="L99" s="4">
        <v>0</v>
      </c>
      <c r="M99" s="4">
        <v>0</v>
      </c>
      <c r="N99" s="4">
        <v>0</v>
      </c>
    </row>
    <row r="100" spans="1:14" x14ac:dyDescent="0.3">
      <c r="A100" s="1" t="s">
        <v>114</v>
      </c>
      <c r="B100" s="1" t="s">
        <v>14</v>
      </c>
      <c r="C100" s="4">
        <v>0</v>
      </c>
      <c r="D100" s="4">
        <v>93</v>
      </c>
      <c r="E100" s="4">
        <v>89</v>
      </c>
      <c r="F100" s="4">
        <v>150</v>
      </c>
      <c r="G100" s="4">
        <v>178</v>
      </c>
      <c r="H100" s="4">
        <v>163</v>
      </c>
      <c r="I100" s="4">
        <v>156</v>
      </c>
      <c r="J100" s="4">
        <v>143</v>
      </c>
      <c r="K100" s="4">
        <v>131</v>
      </c>
      <c r="L100" s="4">
        <v>153</v>
      </c>
      <c r="M100" s="4">
        <v>167</v>
      </c>
      <c r="N100" s="4">
        <v>186</v>
      </c>
    </row>
    <row r="101" spans="1:14" x14ac:dyDescent="0.3">
      <c r="A101" s="1" t="s">
        <v>115</v>
      </c>
      <c r="B101" s="1" t="s">
        <v>14</v>
      </c>
      <c r="C101" s="4">
        <v>0</v>
      </c>
      <c r="D101" s="4">
        <v>142</v>
      </c>
      <c r="E101" s="4">
        <v>254</v>
      </c>
      <c r="F101" s="4">
        <v>266</v>
      </c>
      <c r="G101" s="4">
        <v>388</v>
      </c>
      <c r="H101" s="4">
        <v>432</v>
      </c>
      <c r="I101" s="4">
        <v>343</v>
      </c>
      <c r="J101" s="4">
        <v>263</v>
      </c>
      <c r="K101" s="4">
        <v>292</v>
      </c>
      <c r="L101" s="4">
        <v>368</v>
      </c>
      <c r="M101" s="4">
        <v>455</v>
      </c>
      <c r="N101" s="4">
        <v>646</v>
      </c>
    </row>
    <row r="102" spans="1:14" x14ac:dyDescent="0.3">
      <c r="A102" s="1" t="s">
        <v>116</v>
      </c>
      <c r="B102" s="1" t="s">
        <v>14</v>
      </c>
      <c r="C102" s="4">
        <v>0</v>
      </c>
      <c r="D102" s="4">
        <v>43</v>
      </c>
      <c r="E102" s="4">
        <v>51</v>
      </c>
      <c r="F102" s="4">
        <v>48</v>
      </c>
      <c r="G102" s="4">
        <v>43</v>
      </c>
      <c r="H102" s="4">
        <v>29</v>
      </c>
      <c r="I102" s="4">
        <v>30</v>
      </c>
      <c r="J102" s="4">
        <v>3</v>
      </c>
      <c r="K102" s="4">
        <v>10</v>
      </c>
      <c r="L102" s="4">
        <v>10</v>
      </c>
      <c r="M102" s="4">
        <v>0</v>
      </c>
      <c r="N102" s="4">
        <v>0</v>
      </c>
    </row>
    <row r="103" spans="1:14" x14ac:dyDescent="0.3">
      <c r="A103" s="1" t="s">
        <v>117</v>
      </c>
      <c r="B103" s="1" t="s">
        <v>14</v>
      </c>
      <c r="C103" s="4">
        <v>0</v>
      </c>
      <c r="D103" s="4">
        <v>178</v>
      </c>
      <c r="E103" s="4">
        <v>267</v>
      </c>
      <c r="F103" s="4">
        <v>327</v>
      </c>
      <c r="G103" s="4">
        <v>162</v>
      </c>
      <c r="H103" s="4">
        <v>333</v>
      </c>
      <c r="I103" s="4">
        <v>156</v>
      </c>
      <c r="J103" s="4">
        <v>244</v>
      </c>
      <c r="K103" s="4">
        <v>167</v>
      </c>
      <c r="L103" s="4">
        <v>166</v>
      </c>
      <c r="M103" s="4">
        <v>1140</v>
      </c>
      <c r="N103" s="4">
        <v>1357</v>
      </c>
    </row>
    <row r="104" spans="1:14" x14ac:dyDescent="0.3">
      <c r="A104" s="1" t="s">
        <v>118</v>
      </c>
      <c r="B104" s="1" t="s">
        <v>14</v>
      </c>
      <c r="C104" s="4">
        <v>0</v>
      </c>
      <c r="D104" s="4">
        <v>0</v>
      </c>
      <c r="E104" s="4">
        <v>0</v>
      </c>
      <c r="F104" s="4">
        <v>0</v>
      </c>
      <c r="G104" s="4">
        <v>0</v>
      </c>
      <c r="H104" s="4">
        <v>0</v>
      </c>
      <c r="I104" s="4">
        <v>0</v>
      </c>
      <c r="J104" s="4">
        <v>0</v>
      </c>
      <c r="K104" s="4">
        <v>0</v>
      </c>
      <c r="L104" s="4">
        <v>0</v>
      </c>
      <c r="M104" s="4">
        <v>0</v>
      </c>
      <c r="N104" s="4">
        <v>0</v>
      </c>
    </row>
    <row r="105" spans="1:14" x14ac:dyDescent="0.3">
      <c r="A105" s="1" t="s">
        <v>119</v>
      </c>
      <c r="B105" s="1" t="s">
        <v>14</v>
      </c>
      <c r="C105" s="4">
        <v>0</v>
      </c>
      <c r="D105" s="4">
        <v>62</v>
      </c>
      <c r="E105" s="4">
        <v>65</v>
      </c>
      <c r="F105" s="4">
        <v>75</v>
      </c>
      <c r="G105" s="4">
        <v>9</v>
      </c>
      <c r="H105" s="4">
        <v>1</v>
      </c>
      <c r="I105" s="4">
        <v>6</v>
      </c>
      <c r="J105" s="4">
        <v>1</v>
      </c>
      <c r="K105" s="4">
        <v>0</v>
      </c>
      <c r="L105" s="4">
        <v>0</v>
      </c>
      <c r="M105" s="4">
        <v>0</v>
      </c>
      <c r="N105" s="4">
        <v>0</v>
      </c>
    </row>
    <row r="106" spans="1:14" x14ac:dyDescent="0.3">
      <c r="A106" s="1" t="s">
        <v>120</v>
      </c>
      <c r="B106" s="1" t="s">
        <v>14</v>
      </c>
      <c r="C106" s="4">
        <v>0</v>
      </c>
      <c r="D106" s="4">
        <v>195</v>
      </c>
      <c r="E106" s="4">
        <v>235</v>
      </c>
      <c r="F106" s="4">
        <v>304</v>
      </c>
      <c r="G106" s="4">
        <v>186</v>
      </c>
      <c r="H106" s="4">
        <v>343</v>
      </c>
      <c r="I106" s="4">
        <v>227</v>
      </c>
      <c r="J106" s="4">
        <v>221</v>
      </c>
      <c r="K106" s="4">
        <v>237</v>
      </c>
      <c r="L106" s="4">
        <v>195</v>
      </c>
      <c r="M106" s="4">
        <v>274</v>
      </c>
      <c r="N106" s="4">
        <v>299</v>
      </c>
    </row>
    <row r="107" spans="1:14" x14ac:dyDescent="0.3">
      <c r="A107" s="1" t="s">
        <v>121</v>
      </c>
      <c r="B107" s="1" t="s">
        <v>14</v>
      </c>
      <c r="C107" s="4">
        <v>0</v>
      </c>
      <c r="D107" s="4">
        <v>0</v>
      </c>
      <c r="E107" s="4">
        <v>0</v>
      </c>
      <c r="F107" s="4">
        <v>0</v>
      </c>
      <c r="G107" s="4">
        <v>134</v>
      </c>
      <c r="H107" s="4">
        <v>0</v>
      </c>
      <c r="I107" s="4">
        <v>0</v>
      </c>
      <c r="J107" s="4">
        <v>0</v>
      </c>
      <c r="K107" s="4">
        <v>0</v>
      </c>
      <c r="L107" s="4">
        <v>0</v>
      </c>
      <c r="M107" s="4">
        <v>0</v>
      </c>
      <c r="N107" s="4">
        <v>0</v>
      </c>
    </row>
    <row r="108" spans="1:14" x14ac:dyDescent="0.3">
      <c r="A108" s="1" t="s">
        <v>122</v>
      </c>
      <c r="B108" s="3" t="s">
        <v>16</v>
      </c>
      <c r="C108" s="4">
        <v>0</v>
      </c>
      <c r="D108" s="4">
        <v>0</v>
      </c>
      <c r="E108" s="4">
        <v>0</v>
      </c>
      <c r="F108" s="4">
        <v>0</v>
      </c>
      <c r="G108" s="4">
        <v>0</v>
      </c>
      <c r="H108" s="4">
        <v>0</v>
      </c>
      <c r="I108" s="4">
        <v>0</v>
      </c>
      <c r="J108" s="4">
        <v>0</v>
      </c>
      <c r="K108" s="4">
        <v>0</v>
      </c>
      <c r="L108" s="4">
        <v>0</v>
      </c>
      <c r="M108" s="4">
        <v>0</v>
      </c>
      <c r="N108" s="4">
        <v>0</v>
      </c>
    </row>
    <row r="109" spans="1:14" x14ac:dyDescent="0.3">
      <c r="A109" s="1" t="s">
        <v>123</v>
      </c>
      <c r="B109" s="3" t="s">
        <v>16</v>
      </c>
      <c r="C109" s="4">
        <v>0</v>
      </c>
      <c r="D109" s="4">
        <v>0</v>
      </c>
      <c r="E109" s="4">
        <v>0</v>
      </c>
      <c r="F109" s="4">
        <v>0</v>
      </c>
      <c r="G109" s="4">
        <v>0</v>
      </c>
      <c r="H109" s="4">
        <v>0</v>
      </c>
      <c r="I109" s="4">
        <v>0</v>
      </c>
      <c r="J109" s="4">
        <v>0</v>
      </c>
      <c r="K109" s="4">
        <v>0</v>
      </c>
      <c r="L109" s="4">
        <v>0</v>
      </c>
      <c r="M109" s="4">
        <v>0</v>
      </c>
      <c r="N109" s="4">
        <v>0</v>
      </c>
    </row>
    <row r="110" spans="1:14" x14ac:dyDescent="0.3">
      <c r="A110" s="1" t="s">
        <v>124</v>
      </c>
      <c r="B110" s="3" t="s">
        <v>16</v>
      </c>
      <c r="C110" s="4">
        <v>0</v>
      </c>
      <c r="D110" s="4">
        <v>0</v>
      </c>
      <c r="E110" s="4">
        <v>0</v>
      </c>
      <c r="F110" s="4">
        <v>0</v>
      </c>
      <c r="G110" s="4">
        <v>0</v>
      </c>
      <c r="H110" s="4">
        <v>0</v>
      </c>
      <c r="I110" s="4">
        <v>0</v>
      </c>
      <c r="J110" s="4">
        <v>0</v>
      </c>
      <c r="K110" s="4">
        <v>0</v>
      </c>
      <c r="L110" s="4">
        <v>0</v>
      </c>
      <c r="M110" s="4">
        <v>0</v>
      </c>
      <c r="N110" s="4">
        <v>0</v>
      </c>
    </row>
    <row r="111" spans="1:14" x14ac:dyDescent="0.3">
      <c r="A111" s="1" t="s">
        <v>125</v>
      </c>
      <c r="B111" s="3" t="s">
        <v>16</v>
      </c>
      <c r="C111" s="4">
        <v>0</v>
      </c>
      <c r="D111" s="4">
        <v>0</v>
      </c>
      <c r="E111" s="4">
        <v>0</v>
      </c>
      <c r="F111" s="4">
        <v>0</v>
      </c>
      <c r="G111" s="4">
        <v>0</v>
      </c>
      <c r="H111" s="4">
        <v>0</v>
      </c>
      <c r="I111" s="4">
        <v>0</v>
      </c>
      <c r="J111" s="4">
        <v>0</v>
      </c>
      <c r="K111" s="4">
        <v>0</v>
      </c>
      <c r="L111" s="4">
        <v>0</v>
      </c>
      <c r="M111" s="4">
        <v>0</v>
      </c>
      <c r="N111" s="4">
        <v>0</v>
      </c>
    </row>
    <row r="112" spans="1:14" x14ac:dyDescent="0.3">
      <c r="A112" s="1" t="s">
        <v>126</v>
      </c>
      <c r="B112" s="3" t="s">
        <v>16</v>
      </c>
      <c r="C112" s="4">
        <v>0</v>
      </c>
      <c r="D112" s="4">
        <v>0</v>
      </c>
      <c r="E112" s="4">
        <v>0</v>
      </c>
      <c r="F112" s="4">
        <v>0</v>
      </c>
      <c r="G112" s="4">
        <v>0</v>
      </c>
      <c r="H112" s="4">
        <v>0</v>
      </c>
      <c r="I112" s="4">
        <v>0</v>
      </c>
      <c r="J112" s="4">
        <v>0</v>
      </c>
      <c r="K112" s="4">
        <v>0</v>
      </c>
      <c r="L112" s="4">
        <v>0</v>
      </c>
      <c r="M112" s="4">
        <v>0</v>
      </c>
      <c r="N112" s="4">
        <v>0</v>
      </c>
    </row>
    <row r="113" spans="1:14" x14ac:dyDescent="0.3">
      <c r="A113" s="1" t="s">
        <v>127</v>
      </c>
      <c r="B113" s="1" t="s">
        <v>14</v>
      </c>
      <c r="C113" s="4">
        <v>0</v>
      </c>
      <c r="D113" s="4">
        <v>244</v>
      </c>
      <c r="E113" s="4">
        <v>386</v>
      </c>
      <c r="F113" s="4">
        <v>464</v>
      </c>
      <c r="G113" s="4">
        <v>430</v>
      </c>
      <c r="H113" s="4">
        <v>628</v>
      </c>
      <c r="I113" s="4">
        <v>581</v>
      </c>
      <c r="J113" s="4">
        <v>474</v>
      </c>
      <c r="K113" s="4">
        <v>613</v>
      </c>
      <c r="L113" s="4">
        <v>539</v>
      </c>
      <c r="M113" s="4">
        <v>649</v>
      </c>
      <c r="N113" s="4">
        <v>644</v>
      </c>
    </row>
    <row r="114" spans="1:14" x14ac:dyDescent="0.3">
      <c r="A114" s="1" t="s">
        <v>128</v>
      </c>
      <c r="B114" s="1" t="s">
        <v>14</v>
      </c>
      <c r="C114" s="4">
        <v>0</v>
      </c>
      <c r="D114" s="4">
        <v>622</v>
      </c>
      <c r="E114" s="4">
        <v>506</v>
      </c>
      <c r="F114" s="4">
        <v>476</v>
      </c>
      <c r="G114" s="4">
        <v>378</v>
      </c>
      <c r="H114" s="4">
        <v>383</v>
      </c>
      <c r="I114" s="4">
        <v>528</v>
      </c>
      <c r="J114" s="4">
        <v>545</v>
      </c>
      <c r="K114" s="4">
        <v>470</v>
      </c>
      <c r="L114" s="4">
        <v>564</v>
      </c>
      <c r="M114" s="4">
        <v>862</v>
      </c>
      <c r="N114" s="4">
        <v>537</v>
      </c>
    </row>
    <row r="115" spans="1:14" x14ac:dyDescent="0.3">
      <c r="A115" s="1" t="s">
        <v>129</v>
      </c>
      <c r="B115" s="1" t="s">
        <v>14</v>
      </c>
      <c r="C115" s="4">
        <v>0</v>
      </c>
      <c r="D115" s="4">
        <v>38</v>
      </c>
      <c r="E115" s="4">
        <v>27</v>
      </c>
      <c r="F115" s="4">
        <v>86</v>
      </c>
      <c r="G115" s="4">
        <v>119</v>
      </c>
      <c r="H115" s="4">
        <v>130</v>
      </c>
      <c r="I115" s="4">
        <v>166</v>
      </c>
      <c r="J115" s="4">
        <v>158</v>
      </c>
      <c r="K115" s="4">
        <v>75</v>
      </c>
      <c r="L115" s="4">
        <v>176</v>
      </c>
      <c r="M115" s="4">
        <v>157</v>
      </c>
      <c r="N115" s="4">
        <v>210</v>
      </c>
    </row>
    <row r="116" spans="1:14" x14ac:dyDescent="0.3">
      <c r="A116" s="1" t="s">
        <v>130</v>
      </c>
      <c r="B116" s="1" t="s">
        <v>14</v>
      </c>
      <c r="C116" s="4">
        <v>0</v>
      </c>
      <c r="D116" s="4">
        <v>298</v>
      </c>
      <c r="E116" s="4">
        <v>548</v>
      </c>
      <c r="F116" s="4">
        <v>408</v>
      </c>
      <c r="G116" s="4">
        <v>287</v>
      </c>
      <c r="H116" s="4">
        <v>608</v>
      </c>
      <c r="I116" s="4">
        <v>596</v>
      </c>
      <c r="J116" s="4">
        <v>570</v>
      </c>
      <c r="K116" s="4">
        <v>796</v>
      </c>
      <c r="L116" s="4">
        <v>740</v>
      </c>
      <c r="M116" s="4">
        <v>882</v>
      </c>
      <c r="N116" s="4">
        <v>958</v>
      </c>
    </row>
    <row r="117" spans="1:14" x14ac:dyDescent="0.3">
      <c r="A117" s="1" t="s">
        <v>131</v>
      </c>
      <c r="B117" s="1" t="s">
        <v>14</v>
      </c>
      <c r="C117" s="4">
        <v>0</v>
      </c>
      <c r="D117" s="4">
        <v>315</v>
      </c>
      <c r="E117" s="4">
        <v>345</v>
      </c>
      <c r="F117" s="4">
        <v>513</v>
      </c>
      <c r="G117" s="4">
        <v>541</v>
      </c>
      <c r="H117" s="4">
        <v>530</v>
      </c>
      <c r="I117" s="4">
        <v>544</v>
      </c>
      <c r="J117" s="4">
        <v>621</v>
      </c>
      <c r="K117" s="4">
        <v>525</v>
      </c>
      <c r="L117" s="4">
        <v>493</v>
      </c>
      <c r="M117" s="4">
        <v>446</v>
      </c>
      <c r="N117" s="4">
        <v>433</v>
      </c>
    </row>
    <row r="118" spans="1:14" x14ac:dyDescent="0.3">
      <c r="A118" s="1" t="s">
        <v>132</v>
      </c>
      <c r="B118" s="3" t="s">
        <v>16</v>
      </c>
      <c r="C118" s="4">
        <v>0</v>
      </c>
      <c r="D118" s="4">
        <v>0</v>
      </c>
      <c r="E118" s="4">
        <v>0</v>
      </c>
      <c r="F118" s="4">
        <v>14</v>
      </c>
      <c r="G118" s="4">
        <v>2</v>
      </c>
      <c r="H118" s="4">
        <v>32</v>
      </c>
      <c r="I118" s="4">
        <v>7</v>
      </c>
      <c r="J118" s="4">
        <v>0</v>
      </c>
      <c r="K118" s="4">
        <v>0</v>
      </c>
      <c r="L118" s="4">
        <v>30</v>
      </c>
      <c r="M118" s="4">
        <v>129</v>
      </c>
      <c r="N118" s="4">
        <v>224</v>
      </c>
    </row>
    <row r="119" spans="1:14" x14ac:dyDescent="0.3">
      <c r="A119" s="1" t="s">
        <v>133</v>
      </c>
      <c r="B119" s="3" t="s">
        <v>16</v>
      </c>
      <c r="C119" s="4">
        <v>0</v>
      </c>
      <c r="D119" s="4">
        <v>124</v>
      </c>
      <c r="E119" s="4">
        <v>44</v>
      </c>
      <c r="F119" s="4">
        <v>2</v>
      </c>
      <c r="G119" s="4">
        <v>17</v>
      </c>
      <c r="H119" s="4">
        <v>75</v>
      </c>
      <c r="I119" s="4">
        <v>40</v>
      </c>
      <c r="J119" s="4">
        <v>45</v>
      </c>
      <c r="K119" s="4">
        <v>5</v>
      </c>
      <c r="L119" s="4">
        <v>28</v>
      </c>
      <c r="M119" s="4">
        <v>84</v>
      </c>
      <c r="N119" s="4">
        <v>45</v>
      </c>
    </row>
    <row r="120" spans="1:14" x14ac:dyDescent="0.3">
      <c r="A120" s="1" t="s">
        <v>134</v>
      </c>
      <c r="B120" s="1" t="s">
        <v>14</v>
      </c>
      <c r="C120" s="4">
        <v>0</v>
      </c>
      <c r="D120" s="4">
        <v>172</v>
      </c>
      <c r="E120" s="4">
        <v>194</v>
      </c>
      <c r="F120" s="4">
        <v>173</v>
      </c>
      <c r="G120" s="4">
        <v>165</v>
      </c>
      <c r="H120" s="4">
        <v>194</v>
      </c>
      <c r="I120" s="4">
        <v>183</v>
      </c>
      <c r="J120" s="4">
        <v>169</v>
      </c>
      <c r="K120" s="4">
        <v>147</v>
      </c>
      <c r="L120" s="4">
        <v>100</v>
      </c>
      <c r="M120" s="4">
        <v>214</v>
      </c>
      <c r="N120" s="4">
        <v>179</v>
      </c>
    </row>
    <row r="121" spans="1:14" x14ac:dyDescent="0.3">
      <c r="A121" s="1" t="s">
        <v>135</v>
      </c>
      <c r="B121" s="3" t="s">
        <v>16</v>
      </c>
      <c r="C121" s="4">
        <v>0</v>
      </c>
      <c r="D121" s="4">
        <v>0</v>
      </c>
      <c r="E121" s="4">
        <v>0</v>
      </c>
      <c r="F121" s="4">
        <v>0</v>
      </c>
      <c r="G121" s="4">
        <v>0</v>
      </c>
      <c r="H121" s="4">
        <v>17</v>
      </c>
      <c r="I121" s="4">
        <v>0</v>
      </c>
      <c r="J121" s="4">
        <v>0</v>
      </c>
      <c r="K121" s="4">
        <v>0</v>
      </c>
      <c r="L121" s="4">
        <v>0</v>
      </c>
      <c r="M121" s="4">
        <v>0</v>
      </c>
      <c r="N121" s="4">
        <v>1</v>
      </c>
    </row>
    <row r="122" spans="1:14" x14ac:dyDescent="0.3">
      <c r="A122" s="1" t="s">
        <v>136</v>
      </c>
      <c r="B122" s="3" t="s">
        <v>16</v>
      </c>
      <c r="C122" s="4">
        <v>0</v>
      </c>
      <c r="D122" s="4">
        <v>225</v>
      </c>
      <c r="E122" s="4">
        <v>57</v>
      </c>
      <c r="F122" s="4">
        <v>0</v>
      </c>
      <c r="G122" s="4">
        <v>1</v>
      </c>
      <c r="H122" s="4">
        <v>296</v>
      </c>
      <c r="I122" s="4">
        <v>130</v>
      </c>
      <c r="J122" s="4">
        <v>68</v>
      </c>
      <c r="K122" s="4">
        <v>51</v>
      </c>
      <c r="L122" s="4">
        <v>25</v>
      </c>
      <c r="M122" s="4">
        <v>187</v>
      </c>
      <c r="N122" s="4">
        <v>351</v>
      </c>
    </row>
    <row r="123" spans="1:14" x14ac:dyDescent="0.3">
      <c r="A123" s="1" t="s">
        <v>137</v>
      </c>
      <c r="B123" s="1" t="s">
        <v>14</v>
      </c>
      <c r="C123" s="2">
        <v>0</v>
      </c>
      <c r="D123" s="2">
        <v>74</v>
      </c>
      <c r="E123" s="2">
        <v>142</v>
      </c>
      <c r="F123" s="2">
        <v>188</v>
      </c>
      <c r="G123" s="2">
        <v>151</v>
      </c>
      <c r="H123" s="2">
        <v>165</v>
      </c>
      <c r="I123" s="2">
        <v>454</v>
      </c>
      <c r="J123" s="2">
        <v>323</v>
      </c>
      <c r="K123" s="2">
        <v>335</v>
      </c>
      <c r="L123" s="2">
        <v>289</v>
      </c>
      <c r="M123" s="2">
        <v>464</v>
      </c>
      <c r="N123" s="2">
        <v>570</v>
      </c>
    </row>
    <row r="124" spans="1:14" x14ac:dyDescent="0.3">
      <c r="A124" s="1" t="s">
        <v>138</v>
      </c>
      <c r="B124" s="1" t="s">
        <v>14</v>
      </c>
      <c r="C124" s="2">
        <v>0</v>
      </c>
      <c r="D124" s="2">
        <v>192</v>
      </c>
      <c r="E124" s="2">
        <v>188</v>
      </c>
      <c r="F124" s="2">
        <v>172</v>
      </c>
      <c r="G124" s="2">
        <v>141</v>
      </c>
      <c r="H124" s="2">
        <v>191</v>
      </c>
      <c r="I124" s="2">
        <v>180</v>
      </c>
      <c r="J124" s="2">
        <v>205</v>
      </c>
      <c r="K124" s="2">
        <v>224</v>
      </c>
      <c r="L124" s="2">
        <v>205</v>
      </c>
      <c r="M124" s="2">
        <v>217</v>
      </c>
      <c r="N124" s="2">
        <v>191</v>
      </c>
    </row>
    <row r="125" spans="1:14" x14ac:dyDescent="0.3">
      <c r="A125" s="1" t="s">
        <v>139</v>
      </c>
      <c r="B125" s="1" t="s">
        <v>14</v>
      </c>
      <c r="C125" s="2">
        <v>0</v>
      </c>
      <c r="D125" s="2">
        <v>82</v>
      </c>
      <c r="E125" s="2">
        <v>78</v>
      </c>
      <c r="F125" s="2">
        <v>182</v>
      </c>
      <c r="G125" s="2">
        <v>167</v>
      </c>
      <c r="H125" s="2">
        <v>152</v>
      </c>
      <c r="I125" s="2">
        <v>178</v>
      </c>
      <c r="J125" s="2">
        <v>169</v>
      </c>
      <c r="K125" s="2">
        <v>155</v>
      </c>
      <c r="L125" s="2">
        <v>157</v>
      </c>
      <c r="M125" s="2">
        <v>199</v>
      </c>
      <c r="N125" s="2">
        <v>226</v>
      </c>
    </row>
    <row r="126" spans="1:14" x14ac:dyDescent="0.3">
      <c r="A126" s="1" t="s">
        <v>140</v>
      </c>
      <c r="B126" s="1" t="s">
        <v>141</v>
      </c>
      <c r="C126" s="2">
        <v>0</v>
      </c>
      <c r="D126" s="2">
        <v>2571</v>
      </c>
      <c r="E126" s="2">
        <v>2628</v>
      </c>
      <c r="F126" s="2">
        <v>2584</v>
      </c>
      <c r="G126" s="2">
        <v>2342</v>
      </c>
      <c r="H126" s="2">
        <v>2614</v>
      </c>
      <c r="I126" s="2">
        <v>2277</v>
      </c>
      <c r="J126" s="2">
        <v>2651</v>
      </c>
      <c r="K126" s="2">
        <v>2015</v>
      </c>
      <c r="L126" s="2">
        <v>2733</v>
      </c>
      <c r="M126" s="2">
        <v>2665</v>
      </c>
      <c r="N126" s="2">
        <v>3155</v>
      </c>
    </row>
    <row r="127" spans="1:14" x14ac:dyDescent="0.3">
      <c r="A127" s="1" t="s">
        <v>142</v>
      </c>
      <c r="B127" s="1" t="s">
        <v>14</v>
      </c>
      <c r="C127" s="2">
        <v>0</v>
      </c>
      <c r="D127" s="2">
        <v>137</v>
      </c>
      <c r="E127" s="2">
        <v>170</v>
      </c>
      <c r="F127" s="2">
        <v>257</v>
      </c>
      <c r="G127" s="2">
        <v>262</v>
      </c>
      <c r="H127" s="2">
        <v>263</v>
      </c>
      <c r="I127" s="2">
        <v>243</v>
      </c>
      <c r="J127" s="2">
        <v>202</v>
      </c>
      <c r="K127" s="2">
        <v>224</v>
      </c>
      <c r="L127" s="2">
        <v>230</v>
      </c>
      <c r="M127" s="2">
        <v>245</v>
      </c>
      <c r="N127" s="2">
        <v>222</v>
      </c>
    </row>
  </sheetData>
  <autoFilter ref="A1:N127" xr:uid="{00000000-0001-0000-0200-000000000000}"/>
  <conditionalFormatting sqref="C3:N122">
    <cfRule type="cellIs" dxfId="2" priority="1" operator="equal">
      <formula>70</formula>
    </cfRule>
    <cfRule type="cellIs" dxfId="1" priority="2" operator="equal">
      <formula>100</formula>
    </cfRule>
    <cfRule type="cellIs" dxfId="0" priority="3" operator="equal">
      <formula>30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0CD2C-83A0-44B9-9789-AF041C55E9B4}">
  <sheetPr filterMode="1"/>
  <dimension ref="A1:O127"/>
  <sheetViews>
    <sheetView tabSelected="1" workbookViewId="0">
      <selection activeCell="G99" sqref="G99"/>
    </sheetView>
  </sheetViews>
  <sheetFormatPr defaultRowHeight="14.4" x14ac:dyDescent="0.3"/>
  <cols>
    <col min="1" max="1" width="23" customWidth="1"/>
    <col min="2" max="2" width="44" customWidth="1"/>
    <col min="3" max="3" width="11.6640625" customWidth="1"/>
    <col min="4" max="4" width="11.77734375" bestFit="1" customWidth="1"/>
    <col min="5" max="15" width="10.6640625" bestFit="1" customWidth="1"/>
  </cols>
  <sheetData>
    <row r="1" spans="1:15" x14ac:dyDescent="0.3">
      <c r="A1" s="1" t="s">
        <v>0</v>
      </c>
      <c r="B1" s="1" t="s">
        <v>143</v>
      </c>
      <c r="C1" s="1"/>
    </row>
    <row r="2" spans="1:15" hidden="1" x14ac:dyDescent="0.3">
      <c r="A2" s="1" t="s">
        <v>13</v>
      </c>
      <c r="B2" s="1" t="s">
        <v>14</v>
      </c>
      <c r="C2" s="1"/>
      <c r="D2" s="6">
        <f>Consumo_Medido!C2-Consumo_Faturado!C2</f>
        <v>0</v>
      </c>
      <c r="E2" s="6">
        <f>Consumo_Medido!D2-Consumo_Faturado!D2</f>
        <v>0</v>
      </c>
      <c r="F2" s="6">
        <f>Consumo_Medido!E2-Consumo_Faturado!E2</f>
        <v>0</v>
      </c>
      <c r="G2" s="6">
        <f>Consumo_Medido!F2-Consumo_Faturado!F2</f>
        <v>0</v>
      </c>
      <c r="H2" s="6">
        <f>Consumo_Medido!G2-Consumo_Faturado!G2</f>
        <v>0</v>
      </c>
      <c r="I2" s="6">
        <f>Consumo_Medido!H2-Consumo_Faturado!H2</f>
        <v>0</v>
      </c>
      <c r="J2" s="6">
        <f>Consumo_Medido!I2-Consumo_Faturado!I2</f>
        <v>0</v>
      </c>
      <c r="K2" s="6">
        <f>Consumo_Medido!J2-Consumo_Faturado!J2</f>
        <v>0</v>
      </c>
      <c r="L2" s="6">
        <f>Consumo_Medido!K2-Consumo_Faturado!K2</f>
        <v>0</v>
      </c>
      <c r="M2" s="6">
        <f>Consumo_Medido!L2-Consumo_Faturado!L2</f>
        <v>0</v>
      </c>
      <c r="N2" s="6">
        <f>Consumo_Medido!M2-Consumo_Faturado!M2</f>
        <v>0</v>
      </c>
      <c r="O2" s="6">
        <f>Consumo_Medido!N2-Consumo_Faturado!N2</f>
        <v>0</v>
      </c>
    </row>
    <row r="3" spans="1:15" hidden="1" x14ac:dyDescent="0.3">
      <c r="A3" s="1" t="s">
        <v>15</v>
      </c>
      <c r="B3" s="3" t="s">
        <v>16</v>
      </c>
      <c r="C3" s="7" t="str">
        <f>IF(COUNTIF(D3:O3,"&lt;&gt;0")&gt;0,"Reclamar","Só zeros")</f>
        <v>Só zeros</v>
      </c>
      <c r="D3" s="6">
        <f>Consumo_Medido!C3-Consumo_Faturado!C3</f>
        <v>0</v>
      </c>
      <c r="E3" s="6">
        <f>Consumo_Medido!D3-Consumo_Faturado!D3</f>
        <v>0</v>
      </c>
      <c r="F3" s="6">
        <f>Consumo_Medido!E3-Consumo_Faturado!E3</f>
        <v>0</v>
      </c>
      <c r="G3" s="6">
        <f>Consumo_Medido!F3-Consumo_Faturado!F3</f>
        <v>0</v>
      </c>
      <c r="H3" s="6">
        <f>Consumo_Medido!G3-Consumo_Faturado!G3</f>
        <v>0</v>
      </c>
      <c r="I3" s="6">
        <f>Consumo_Medido!H3-Consumo_Faturado!H3</f>
        <v>0</v>
      </c>
      <c r="J3" s="6">
        <f>Consumo_Medido!I3-Consumo_Faturado!I3</f>
        <v>0</v>
      </c>
      <c r="K3" s="6">
        <f>Consumo_Medido!J3-Consumo_Faturado!J3</f>
        <v>0</v>
      </c>
      <c r="L3" s="6">
        <f>Consumo_Medido!K3-Consumo_Faturado!K3</f>
        <v>0</v>
      </c>
      <c r="M3" s="6">
        <f>Consumo_Medido!L3-Consumo_Faturado!L3</f>
        <v>0</v>
      </c>
      <c r="N3" s="6">
        <f>Consumo_Medido!M3-Consumo_Faturado!M3</f>
        <v>0</v>
      </c>
      <c r="O3" s="6">
        <f>Consumo_Medido!N3-Consumo_Faturado!N3</f>
        <v>0</v>
      </c>
    </row>
    <row r="4" spans="1:15" hidden="1" x14ac:dyDescent="0.3">
      <c r="A4" s="1" t="s">
        <v>17</v>
      </c>
      <c r="B4" s="3" t="s">
        <v>16</v>
      </c>
      <c r="C4" s="7" t="str">
        <f>IF(COUNTIF(D4:O4,"&lt;&gt;0")&gt;0,"Reclamar","Só zeros")</f>
        <v>Só zeros</v>
      </c>
      <c r="D4" s="6">
        <f>Consumo_Medido!C4-Consumo_Faturado!C4</f>
        <v>0</v>
      </c>
      <c r="E4" s="6">
        <f>Consumo_Medido!D4-Consumo_Faturado!D4</f>
        <v>0</v>
      </c>
      <c r="F4" s="6">
        <f>Consumo_Medido!E4-Consumo_Faturado!E4</f>
        <v>0</v>
      </c>
      <c r="G4" s="6">
        <f>Consumo_Medido!F4-Consumo_Faturado!F4</f>
        <v>0</v>
      </c>
      <c r="H4" s="6">
        <f>Consumo_Medido!G4-Consumo_Faturado!G4</f>
        <v>0</v>
      </c>
      <c r="I4" s="6">
        <f>Consumo_Medido!H4-Consumo_Faturado!H4</f>
        <v>0</v>
      </c>
      <c r="J4" s="6">
        <f>Consumo_Medido!I4-Consumo_Faturado!I4</f>
        <v>0</v>
      </c>
      <c r="K4" s="6">
        <f>Consumo_Medido!J4-Consumo_Faturado!J4</f>
        <v>0</v>
      </c>
      <c r="L4" s="6">
        <f>Consumo_Medido!K4-Consumo_Faturado!K4</f>
        <v>0</v>
      </c>
      <c r="M4" s="6">
        <f>Consumo_Medido!L4-Consumo_Faturado!L4</f>
        <v>0</v>
      </c>
      <c r="N4" s="6">
        <f>Consumo_Medido!M4-Consumo_Faturado!M4</f>
        <v>0</v>
      </c>
      <c r="O4" s="6">
        <f>Consumo_Medido!N4-Consumo_Faturado!N4</f>
        <v>0</v>
      </c>
    </row>
    <row r="5" spans="1:15" hidden="1" x14ac:dyDescent="0.3">
      <c r="A5" s="1" t="s">
        <v>18</v>
      </c>
      <c r="B5" s="1" t="s">
        <v>14</v>
      </c>
      <c r="C5" s="1"/>
      <c r="D5" s="6">
        <f>Consumo_Medido!C5-Consumo_Faturado!C5</f>
        <v>0</v>
      </c>
      <c r="E5" s="6">
        <f>Consumo_Medido!D5-Consumo_Faturado!D5</f>
        <v>0</v>
      </c>
      <c r="F5" s="6">
        <f>Consumo_Medido!E5-Consumo_Faturado!E5</f>
        <v>0</v>
      </c>
      <c r="G5" s="6">
        <f>Consumo_Medido!F5-Consumo_Faturado!F5</f>
        <v>0</v>
      </c>
      <c r="H5" s="6">
        <f>Consumo_Medido!G5-Consumo_Faturado!G5</f>
        <v>0</v>
      </c>
      <c r="I5" s="6">
        <f>Consumo_Medido!H5-Consumo_Faturado!H5</f>
        <v>0</v>
      </c>
      <c r="J5" s="6">
        <f>Consumo_Medido!I5-Consumo_Faturado!I5</f>
        <v>0</v>
      </c>
      <c r="K5" s="6">
        <f>Consumo_Medido!J5-Consumo_Faturado!J5</f>
        <v>0</v>
      </c>
      <c r="L5" s="6">
        <f>Consumo_Medido!K5-Consumo_Faturado!K5</f>
        <v>0</v>
      </c>
      <c r="M5" s="6">
        <f>Consumo_Medido!L5-Consumo_Faturado!L5</f>
        <v>0</v>
      </c>
      <c r="N5" s="6">
        <f>Consumo_Medido!M5-Consumo_Faturado!M5</f>
        <v>0</v>
      </c>
      <c r="O5" s="6">
        <f>Consumo_Medido!N5-Consumo_Faturado!N5</f>
        <v>0</v>
      </c>
    </row>
    <row r="6" spans="1:15" hidden="1" x14ac:dyDescent="0.3">
      <c r="A6" s="1" t="s">
        <v>19</v>
      </c>
      <c r="B6" s="1" t="s">
        <v>14</v>
      </c>
      <c r="C6" s="1"/>
      <c r="D6" s="6">
        <f>Consumo_Medido!C6-Consumo_Faturado!C6</f>
        <v>0</v>
      </c>
      <c r="E6" s="6">
        <f>Consumo_Medido!D6-Consumo_Faturado!D6</f>
        <v>0</v>
      </c>
      <c r="F6" s="6">
        <f>Consumo_Medido!E6-Consumo_Faturado!E6</f>
        <v>0</v>
      </c>
      <c r="G6" s="6">
        <f>Consumo_Medido!F6-Consumo_Faturado!F6</f>
        <v>0</v>
      </c>
      <c r="H6" s="6">
        <f>Consumo_Medido!G6-Consumo_Faturado!G6</f>
        <v>0</v>
      </c>
      <c r="I6" s="6">
        <f>Consumo_Medido!H6-Consumo_Faturado!H6</f>
        <v>0</v>
      </c>
      <c r="J6" s="6">
        <f>Consumo_Medido!I6-Consumo_Faturado!I6</f>
        <v>0</v>
      </c>
      <c r="K6" s="6">
        <f>Consumo_Medido!J6-Consumo_Faturado!J6</f>
        <v>0</v>
      </c>
      <c r="L6" s="6">
        <f>Consumo_Medido!K6-Consumo_Faturado!K6</f>
        <v>0</v>
      </c>
      <c r="M6" s="6">
        <f>Consumo_Medido!L6-Consumo_Faturado!L6</f>
        <v>0</v>
      </c>
      <c r="N6" s="6">
        <f>Consumo_Medido!M6-Consumo_Faturado!M6</f>
        <v>0</v>
      </c>
      <c r="O6" s="6">
        <f>Consumo_Medido!N6-Consumo_Faturado!N6</f>
        <v>0</v>
      </c>
    </row>
    <row r="7" spans="1:15" hidden="1" x14ac:dyDescent="0.3">
      <c r="A7" s="1" t="s">
        <v>20</v>
      </c>
      <c r="B7" s="3" t="s">
        <v>16</v>
      </c>
      <c r="C7" s="7" t="str">
        <f>IF(COUNTIF(D7:O7,"&lt;&gt;0")&gt;0,"Reclamar","Só zeros")</f>
        <v>Só zeros</v>
      </c>
      <c r="D7" s="6">
        <f>Consumo_Medido!C7-Consumo_Faturado!C7</f>
        <v>0</v>
      </c>
      <c r="E7" s="6">
        <f>Consumo_Medido!D7-Consumo_Faturado!D7</f>
        <v>0</v>
      </c>
      <c r="F7" s="6">
        <f>Consumo_Medido!E7-Consumo_Faturado!E7</f>
        <v>0</v>
      </c>
      <c r="G7" s="6">
        <f>Consumo_Medido!F7-Consumo_Faturado!F7</f>
        <v>0</v>
      </c>
      <c r="H7" s="6">
        <f>Consumo_Medido!G7-Consumo_Faturado!G7</f>
        <v>0</v>
      </c>
      <c r="I7" s="6">
        <f>Consumo_Medido!H7-Consumo_Faturado!H7</f>
        <v>0</v>
      </c>
      <c r="J7" s="6">
        <f>Consumo_Medido!I7-Consumo_Faturado!I7</f>
        <v>0</v>
      </c>
      <c r="K7" s="6">
        <f>Consumo_Medido!J7-Consumo_Faturado!J7</f>
        <v>0</v>
      </c>
      <c r="L7" s="6">
        <f>Consumo_Medido!K7-Consumo_Faturado!K7</f>
        <v>0</v>
      </c>
      <c r="M7" s="6">
        <f>Consumo_Medido!L7-Consumo_Faturado!L7</f>
        <v>0</v>
      </c>
      <c r="N7" s="6">
        <f>Consumo_Medido!M7-Consumo_Faturado!M7</f>
        <v>0</v>
      </c>
      <c r="O7" s="6">
        <f>Consumo_Medido!N7-Consumo_Faturado!N7</f>
        <v>0</v>
      </c>
    </row>
    <row r="8" spans="1:15" hidden="1" x14ac:dyDescent="0.3">
      <c r="A8" s="1" t="s">
        <v>21</v>
      </c>
      <c r="B8" s="1" t="s">
        <v>14</v>
      </c>
      <c r="C8" s="1"/>
      <c r="D8" s="6">
        <f>Consumo_Medido!C8-Consumo_Faturado!C8</f>
        <v>0</v>
      </c>
      <c r="E8" s="6">
        <f>Consumo_Medido!D8-Consumo_Faturado!D8</f>
        <v>0</v>
      </c>
      <c r="F8" s="6">
        <f>Consumo_Medido!E8-Consumo_Faturado!E8</f>
        <v>0</v>
      </c>
      <c r="G8" s="6">
        <f>Consumo_Medido!F8-Consumo_Faturado!F8</f>
        <v>0</v>
      </c>
      <c r="H8" s="6">
        <f>Consumo_Medido!G8-Consumo_Faturado!G8</f>
        <v>0</v>
      </c>
      <c r="I8" s="6">
        <f>Consumo_Medido!H8-Consumo_Faturado!H8</f>
        <v>0</v>
      </c>
      <c r="J8" s="6">
        <f>Consumo_Medido!I8-Consumo_Faturado!I8</f>
        <v>0</v>
      </c>
      <c r="K8" s="6">
        <f>Consumo_Medido!J8-Consumo_Faturado!J8</f>
        <v>0</v>
      </c>
      <c r="L8" s="6">
        <f>Consumo_Medido!K8-Consumo_Faturado!K8</f>
        <v>0</v>
      </c>
      <c r="M8" s="6">
        <f>Consumo_Medido!L8-Consumo_Faturado!L8</f>
        <v>0</v>
      </c>
      <c r="N8" s="6">
        <f>Consumo_Medido!M8-Consumo_Faturado!M8</f>
        <v>0</v>
      </c>
      <c r="O8" s="6">
        <f>Consumo_Medido!N8-Consumo_Faturado!N8</f>
        <v>0</v>
      </c>
    </row>
    <row r="9" spans="1:15" hidden="1" x14ac:dyDescent="0.3">
      <c r="A9" s="1" t="s">
        <v>22</v>
      </c>
      <c r="B9" s="1" t="s">
        <v>14</v>
      </c>
      <c r="C9" s="1"/>
      <c r="D9" s="6">
        <f>Consumo_Medido!C9-Consumo_Faturado!C9</f>
        <v>0</v>
      </c>
      <c r="E9" s="6">
        <f>Consumo_Medido!D9-Consumo_Faturado!D9</f>
        <v>0</v>
      </c>
      <c r="F9" s="6">
        <f>Consumo_Medido!E9-Consumo_Faturado!E9</f>
        <v>0</v>
      </c>
      <c r="G9" s="6">
        <f>Consumo_Medido!F9-Consumo_Faturado!F9</f>
        <v>0</v>
      </c>
      <c r="H9" s="6">
        <f>Consumo_Medido!G9-Consumo_Faturado!G9</f>
        <v>0</v>
      </c>
      <c r="I9" s="6">
        <f>Consumo_Medido!H9-Consumo_Faturado!H9</f>
        <v>0</v>
      </c>
      <c r="J9" s="6">
        <f>Consumo_Medido!I9-Consumo_Faturado!I9</f>
        <v>0</v>
      </c>
      <c r="K9" s="6">
        <f>Consumo_Medido!J9-Consumo_Faturado!J9</f>
        <v>0</v>
      </c>
      <c r="L9" s="6">
        <f>Consumo_Medido!K9-Consumo_Faturado!K9</f>
        <v>0</v>
      </c>
      <c r="M9" s="6">
        <f>Consumo_Medido!L9-Consumo_Faturado!L9</f>
        <v>0</v>
      </c>
      <c r="N9" s="6">
        <f>Consumo_Medido!M9-Consumo_Faturado!M9</f>
        <v>0</v>
      </c>
      <c r="O9" s="6">
        <f>Consumo_Medido!N9-Consumo_Faturado!N9</f>
        <v>0</v>
      </c>
    </row>
    <row r="10" spans="1:15" hidden="1" x14ac:dyDescent="0.3">
      <c r="A10" s="1" t="s">
        <v>23</v>
      </c>
      <c r="B10" s="3" t="s">
        <v>16</v>
      </c>
      <c r="C10" s="7" t="str">
        <f t="shared" ref="C10:C14" si="0">IF(COUNTIF(D10:O10,"&lt;&gt;0")&gt;0,"Reclamar","Só zeros")</f>
        <v>Reclamar</v>
      </c>
      <c r="D10" s="6">
        <f>Consumo_Medido!C10-Consumo_Faturado!C10</f>
        <v>0</v>
      </c>
      <c r="E10" s="6">
        <f>Consumo_Medido!D10-Consumo_Faturado!D10</f>
        <v>-9</v>
      </c>
      <c r="F10" s="6">
        <f>Consumo_Medido!E10-Consumo_Faturado!E10</f>
        <v>-6</v>
      </c>
      <c r="G10" s="6">
        <f>Consumo_Medido!F10-Consumo_Faturado!F10</f>
        <v>0</v>
      </c>
      <c r="H10" s="6">
        <f>Consumo_Medido!G10-Consumo_Faturado!G10</f>
        <v>-6</v>
      </c>
      <c r="I10" s="6">
        <f>Consumo_Medido!H10-Consumo_Faturado!H10</f>
        <v>-5</v>
      </c>
      <c r="J10" s="6">
        <f>Consumo_Medido!I10-Consumo_Faturado!I10</f>
        <v>-4</v>
      </c>
      <c r="K10" s="6">
        <f>Consumo_Medido!J10-Consumo_Faturado!J10</f>
        <v>0</v>
      </c>
      <c r="L10" s="6">
        <f>Consumo_Medido!K10-Consumo_Faturado!K10</f>
        <v>-1</v>
      </c>
      <c r="M10" s="6">
        <f>Consumo_Medido!L10-Consumo_Faturado!L10</f>
        <v>-4</v>
      </c>
      <c r="N10" s="6">
        <f>Consumo_Medido!M10-Consumo_Faturado!M10</f>
        <v>-11</v>
      </c>
      <c r="O10" s="6">
        <f>Consumo_Medido!N10-Consumo_Faturado!N10</f>
        <v>-5</v>
      </c>
    </row>
    <row r="11" spans="1:15" hidden="1" x14ac:dyDescent="0.3">
      <c r="A11" s="1" t="s">
        <v>24</v>
      </c>
      <c r="B11" s="3" t="s">
        <v>16</v>
      </c>
      <c r="C11" s="7" t="str">
        <f t="shared" si="0"/>
        <v>Reclamar</v>
      </c>
      <c r="D11" s="6">
        <f>Consumo_Medido!C11-Consumo_Faturado!C11</f>
        <v>0</v>
      </c>
      <c r="E11" s="6">
        <f>Consumo_Medido!D11-Consumo_Faturado!D11</f>
        <v>0</v>
      </c>
      <c r="F11" s="6">
        <f>Consumo_Medido!E11-Consumo_Faturado!E11</f>
        <v>0</v>
      </c>
      <c r="G11" s="6">
        <f>Consumo_Medido!F11-Consumo_Faturado!F11</f>
        <v>0</v>
      </c>
      <c r="H11" s="6">
        <f>Consumo_Medido!G11-Consumo_Faturado!G11</f>
        <v>0</v>
      </c>
      <c r="I11" s="6">
        <f>Consumo_Medido!H11-Consumo_Faturado!H11</f>
        <v>0</v>
      </c>
      <c r="J11" s="6">
        <f>Consumo_Medido!I11-Consumo_Faturado!I11</f>
        <v>0</v>
      </c>
      <c r="K11" s="6">
        <f>Consumo_Medido!J11-Consumo_Faturado!J11</f>
        <v>0</v>
      </c>
      <c r="L11" s="6">
        <f>Consumo_Medido!K11-Consumo_Faturado!K11</f>
        <v>-30</v>
      </c>
      <c r="M11" s="6">
        <f>Consumo_Medido!L11-Consumo_Faturado!L11</f>
        <v>-30</v>
      </c>
      <c r="N11" s="6">
        <f>Consumo_Medido!M11-Consumo_Faturado!M11</f>
        <v>0</v>
      </c>
      <c r="O11" s="6">
        <f>Consumo_Medido!N11-Consumo_Faturado!N11</f>
        <v>0</v>
      </c>
    </row>
    <row r="12" spans="1:15" hidden="1" x14ac:dyDescent="0.3">
      <c r="A12" s="1" t="s">
        <v>25</v>
      </c>
      <c r="B12" s="3" t="s">
        <v>16</v>
      </c>
      <c r="C12" s="7" t="str">
        <f t="shared" si="0"/>
        <v>Reclamar</v>
      </c>
      <c r="D12" s="6">
        <f>Consumo_Medido!C12-Consumo_Faturado!C12</f>
        <v>0</v>
      </c>
      <c r="E12" s="6">
        <f>Consumo_Medido!D12-Consumo_Faturado!D12</f>
        <v>-30</v>
      </c>
      <c r="F12" s="6">
        <f>Consumo_Medido!E12-Consumo_Faturado!E12</f>
        <v>-29</v>
      </c>
      <c r="G12" s="6">
        <f>Consumo_Medido!F12-Consumo_Faturado!F12</f>
        <v>-29</v>
      </c>
      <c r="H12" s="6">
        <f>Consumo_Medido!G12-Consumo_Faturado!G12</f>
        <v>-30</v>
      </c>
      <c r="I12" s="6">
        <f>Consumo_Medido!H12-Consumo_Faturado!H12</f>
        <v>-30</v>
      </c>
      <c r="J12" s="6">
        <f>Consumo_Medido!I12-Consumo_Faturado!I12</f>
        <v>-30</v>
      </c>
      <c r="K12" s="6">
        <f>Consumo_Medido!J12-Consumo_Faturado!J12</f>
        <v>-30</v>
      </c>
      <c r="L12" s="6">
        <f>Consumo_Medido!K12-Consumo_Faturado!K12</f>
        <v>-30</v>
      </c>
      <c r="M12" s="6">
        <f>Consumo_Medido!L12-Consumo_Faturado!L12</f>
        <v>-30</v>
      </c>
      <c r="N12" s="6">
        <f>Consumo_Medido!M12-Consumo_Faturado!M12</f>
        <v>-30</v>
      </c>
      <c r="O12" s="6">
        <f>Consumo_Medido!N12-Consumo_Faturado!N12</f>
        <v>-30</v>
      </c>
    </row>
    <row r="13" spans="1:15" hidden="1" x14ac:dyDescent="0.3">
      <c r="A13" s="1" t="s">
        <v>26</v>
      </c>
      <c r="B13" s="3" t="s">
        <v>16</v>
      </c>
      <c r="C13" s="7" t="str">
        <f t="shared" si="0"/>
        <v>Reclamar</v>
      </c>
      <c r="D13" s="6">
        <f>Consumo_Medido!C13-Consumo_Faturado!C13</f>
        <v>0</v>
      </c>
      <c r="E13" s="6">
        <f>Consumo_Medido!D13-Consumo_Faturado!D13</f>
        <v>-30</v>
      </c>
      <c r="F13" s="6">
        <f>Consumo_Medido!E13-Consumo_Faturado!E13</f>
        <v>-30</v>
      </c>
      <c r="G13" s="6">
        <f>Consumo_Medido!F13-Consumo_Faturado!F13</f>
        <v>-30</v>
      </c>
      <c r="H13" s="6">
        <f>Consumo_Medido!G13-Consumo_Faturado!G13</f>
        <v>-30</v>
      </c>
      <c r="I13" s="6">
        <f>Consumo_Medido!H13-Consumo_Faturado!H13</f>
        <v>-30</v>
      </c>
      <c r="J13" s="6">
        <f>Consumo_Medido!I13-Consumo_Faturado!I13</f>
        <v>-30</v>
      </c>
      <c r="K13" s="6">
        <f>Consumo_Medido!J13-Consumo_Faturado!J13</f>
        <v>-30</v>
      </c>
      <c r="L13" s="6">
        <f>Consumo_Medido!K13-Consumo_Faturado!K13</f>
        <v>-30</v>
      </c>
      <c r="M13" s="6">
        <f>Consumo_Medido!L13-Consumo_Faturado!L13</f>
        <v>-30</v>
      </c>
      <c r="N13" s="6">
        <f>Consumo_Medido!M13-Consumo_Faturado!M13</f>
        <v>-30</v>
      </c>
      <c r="O13" s="6">
        <f>Consumo_Medido!N13-Consumo_Faturado!N13</f>
        <v>-30</v>
      </c>
    </row>
    <row r="14" spans="1:15" hidden="1" x14ac:dyDescent="0.3">
      <c r="A14" s="1" t="s">
        <v>27</v>
      </c>
      <c r="B14" s="3" t="s">
        <v>16</v>
      </c>
      <c r="C14" s="7" t="str">
        <f t="shared" si="0"/>
        <v>Reclamar</v>
      </c>
      <c r="D14" s="6">
        <f>Consumo_Medido!C14-Consumo_Faturado!C14</f>
        <v>0</v>
      </c>
      <c r="E14" s="6">
        <f>Consumo_Medido!D14-Consumo_Faturado!D14</f>
        <v>-30</v>
      </c>
      <c r="F14" s="6">
        <f>Consumo_Medido!E14-Consumo_Faturado!E14</f>
        <v>-30</v>
      </c>
      <c r="G14" s="6">
        <f>Consumo_Medido!F14-Consumo_Faturado!F14</f>
        <v>-30</v>
      </c>
      <c r="H14" s="6">
        <f>Consumo_Medido!G14-Consumo_Faturado!G14</f>
        <v>-30</v>
      </c>
      <c r="I14" s="6">
        <f>Consumo_Medido!H14-Consumo_Faturado!H14</f>
        <v>-30</v>
      </c>
      <c r="J14" s="6">
        <f>Consumo_Medido!I14-Consumo_Faturado!I14</f>
        <v>-30</v>
      </c>
      <c r="K14" s="6">
        <f>Consumo_Medido!J14-Consumo_Faturado!J14</f>
        <v>-30</v>
      </c>
      <c r="L14" s="6">
        <f>Consumo_Medido!K14-Consumo_Faturado!K14</f>
        <v>-30</v>
      </c>
      <c r="M14" s="6">
        <f>Consumo_Medido!L14-Consumo_Faturado!L14</f>
        <v>-30</v>
      </c>
      <c r="N14" s="6">
        <f>Consumo_Medido!M14-Consumo_Faturado!M14</f>
        <v>-30</v>
      </c>
      <c r="O14" s="6">
        <f>Consumo_Medido!N14-Consumo_Faturado!N14</f>
        <v>-30</v>
      </c>
    </row>
    <row r="15" spans="1:15" hidden="1" x14ac:dyDescent="0.3">
      <c r="A15" s="1" t="s">
        <v>28</v>
      </c>
      <c r="B15" s="1" t="s">
        <v>14</v>
      </c>
      <c r="C15" s="1"/>
      <c r="D15" s="6">
        <f>Consumo_Medido!C15-Consumo_Faturado!C15</f>
        <v>0</v>
      </c>
      <c r="E15" s="6">
        <f>Consumo_Medido!D15-Consumo_Faturado!D15</f>
        <v>-30</v>
      </c>
      <c r="F15" s="6">
        <f>Consumo_Medido!E15-Consumo_Faturado!E15</f>
        <v>-29</v>
      </c>
      <c r="G15" s="6">
        <f>Consumo_Medido!F15-Consumo_Faturado!F15</f>
        <v>-28</v>
      </c>
      <c r="H15" s="6">
        <f>Consumo_Medido!G15-Consumo_Faturado!G15</f>
        <v>-29</v>
      </c>
      <c r="I15" s="6">
        <f>Consumo_Medido!H15-Consumo_Faturado!H15</f>
        <v>-30</v>
      </c>
      <c r="J15" s="6">
        <f>Consumo_Medido!I15-Consumo_Faturado!I15</f>
        <v>-30</v>
      </c>
      <c r="K15" s="6">
        <f>Consumo_Medido!J15-Consumo_Faturado!J15</f>
        <v>-24</v>
      </c>
      <c r="L15" s="6">
        <f>Consumo_Medido!K15-Consumo_Faturado!K15</f>
        <v>-29</v>
      </c>
      <c r="M15" s="6">
        <f>Consumo_Medido!L15-Consumo_Faturado!L15</f>
        <v>-30</v>
      </c>
      <c r="N15" s="6">
        <f>Consumo_Medido!M15-Consumo_Faturado!M15</f>
        <v>-30</v>
      </c>
      <c r="O15" s="6">
        <f>Consumo_Medido!N15-Consumo_Faturado!N15</f>
        <v>-30</v>
      </c>
    </row>
    <row r="16" spans="1:15" hidden="1" x14ac:dyDescent="0.3">
      <c r="A16" s="1" t="s">
        <v>29</v>
      </c>
      <c r="B16" s="1" t="s">
        <v>14</v>
      </c>
      <c r="C16" s="1"/>
      <c r="D16" s="6">
        <f>Consumo_Medido!C16-Consumo_Faturado!C16</f>
        <v>0</v>
      </c>
      <c r="E16" s="6">
        <f>Consumo_Medido!D16-Consumo_Faturado!D16</f>
        <v>0</v>
      </c>
      <c r="F16" s="6">
        <f>Consumo_Medido!E16-Consumo_Faturado!E16</f>
        <v>0</v>
      </c>
      <c r="G16" s="6">
        <f>Consumo_Medido!F16-Consumo_Faturado!F16</f>
        <v>0</v>
      </c>
      <c r="H16" s="6">
        <f>Consumo_Medido!G16-Consumo_Faturado!G16</f>
        <v>0</v>
      </c>
      <c r="I16" s="6">
        <f>Consumo_Medido!H16-Consumo_Faturado!H16</f>
        <v>0</v>
      </c>
      <c r="J16" s="6">
        <f>Consumo_Medido!I16-Consumo_Faturado!I16</f>
        <v>0</v>
      </c>
      <c r="K16" s="6">
        <f>Consumo_Medido!J16-Consumo_Faturado!J16</f>
        <v>0</v>
      </c>
      <c r="L16" s="6">
        <f>Consumo_Medido!K16-Consumo_Faturado!K16</f>
        <v>0</v>
      </c>
      <c r="M16" s="6">
        <f>Consumo_Medido!L16-Consumo_Faturado!L16</f>
        <v>0</v>
      </c>
      <c r="N16" s="6">
        <f>Consumo_Medido!M16-Consumo_Faturado!M16</f>
        <v>0</v>
      </c>
      <c r="O16" s="6">
        <f>Consumo_Medido!N16-Consumo_Faturado!N16</f>
        <v>0</v>
      </c>
    </row>
    <row r="17" spans="1:15" hidden="1" x14ac:dyDescent="0.3">
      <c r="A17" s="1" t="s">
        <v>30</v>
      </c>
      <c r="B17" s="3" t="s">
        <v>16</v>
      </c>
      <c r="C17" s="7" t="str">
        <f t="shared" ref="C17:C19" si="1">IF(COUNTIF(D17:O17,"&lt;&gt;0")&gt;0,"Reclamar","Só zeros")</f>
        <v>Só zeros</v>
      </c>
      <c r="D17" s="6">
        <f>Consumo_Medido!C17-Consumo_Faturado!C17</f>
        <v>0</v>
      </c>
      <c r="E17" s="6">
        <f>Consumo_Medido!D17-Consumo_Faturado!D17</f>
        <v>0</v>
      </c>
      <c r="F17" s="6">
        <f>Consumo_Medido!E17-Consumo_Faturado!E17</f>
        <v>0</v>
      </c>
      <c r="G17" s="6">
        <f>Consumo_Medido!F17-Consumo_Faturado!F17</f>
        <v>0</v>
      </c>
      <c r="H17" s="6">
        <f>Consumo_Medido!G17-Consumo_Faturado!G17</f>
        <v>0</v>
      </c>
      <c r="I17" s="6">
        <f>Consumo_Medido!H17-Consumo_Faturado!H17</f>
        <v>0</v>
      </c>
      <c r="J17" s="6">
        <f>Consumo_Medido!I17-Consumo_Faturado!I17</f>
        <v>0</v>
      </c>
      <c r="K17" s="6">
        <f>Consumo_Medido!J17-Consumo_Faturado!J17</f>
        <v>0</v>
      </c>
      <c r="L17" s="6">
        <f>Consumo_Medido!K17-Consumo_Faturado!K17</f>
        <v>0</v>
      </c>
      <c r="M17" s="6">
        <f>Consumo_Medido!L17-Consumo_Faturado!L17</f>
        <v>0</v>
      </c>
      <c r="N17" s="6">
        <f>Consumo_Medido!M17-Consumo_Faturado!M17</f>
        <v>0</v>
      </c>
      <c r="O17" s="6">
        <f>Consumo_Medido!N17-Consumo_Faturado!N17</f>
        <v>0</v>
      </c>
    </row>
    <row r="18" spans="1:15" hidden="1" x14ac:dyDescent="0.3">
      <c r="A18" s="1" t="s">
        <v>31</v>
      </c>
      <c r="B18" s="3" t="s">
        <v>16</v>
      </c>
      <c r="C18" s="7" t="str">
        <f t="shared" si="1"/>
        <v>Reclamar</v>
      </c>
      <c r="D18" s="6">
        <f>Consumo_Medido!C18-Consumo_Faturado!C18</f>
        <v>0</v>
      </c>
      <c r="E18" s="6">
        <f>Consumo_Medido!D18-Consumo_Faturado!D18</f>
        <v>-30</v>
      </c>
      <c r="F18" s="6">
        <f>Consumo_Medido!E18-Consumo_Faturado!E18</f>
        <v>-30</v>
      </c>
      <c r="G18" s="6">
        <f>Consumo_Medido!F18-Consumo_Faturado!F18</f>
        <v>-30</v>
      </c>
      <c r="H18" s="6">
        <f>Consumo_Medido!G18-Consumo_Faturado!G18</f>
        <v>-30</v>
      </c>
      <c r="I18" s="6">
        <f>Consumo_Medido!H18-Consumo_Faturado!H18</f>
        <v>-30</v>
      </c>
      <c r="J18" s="6">
        <f>Consumo_Medido!I18-Consumo_Faturado!I18</f>
        <v>-30</v>
      </c>
      <c r="K18" s="6">
        <f>Consumo_Medido!J18-Consumo_Faturado!J18</f>
        <v>-30</v>
      </c>
      <c r="L18" s="6">
        <f>Consumo_Medido!K18-Consumo_Faturado!K18</f>
        <v>-25</v>
      </c>
      <c r="M18" s="6">
        <f>Consumo_Medido!L18-Consumo_Faturado!L18</f>
        <v>0</v>
      </c>
      <c r="N18" s="6">
        <f>Consumo_Medido!M18-Consumo_Faturado!M18</f>
        <v>-6</v>
      </c>
      <c r="O18" s="6">
        <f>Consumo_Medido!N18-Consumo_Faturado!N18</f>
        <v>-6</v>
      </c>
    </row>
    <row r="19" spans="1:15" hidden="1" x14ac:dyDescent="0.3">
      <c r="A19" s="1" t="s">
        <v>32</v>
      </c>
      <c r="B19" s="3" t="s">
        <v>16</v>
      </c>
      <c r="C19" s="7" t="str">
        <f t="shared" si="1"/>
        <v>Reclamar</v>
      </c>
      <c r="D19" s="6">
        <f>Consumo_Medido!C19-Consumo_Faturado!C19</f>
        <v>0</v>
      </c>
      <c r="E19" s="6">
        <f>Consumo_Medido!D19-Consumo_Faturado!D19</f>
        <v>-30</v>
      </c>
      <c r="F19" s="6">
        <f>Consumo_Medido!E19-Consumo_Faturado!E19</f>
        <v>-28</v>
      </c>
      <c r="G19" s="6">
        <f>Consumo_Medido!F19-Consumo_Faturado!F19</f>
        <v>-30</v>
      </c>
      <c r="H19" s="6">
        <f>Consumo_Medido!G19-Consumo_Faturado!G19</f>
        <v>-29</v>
      </c>
      <c r="I19" s="6">
        <f>Consumo_Medido!H19-Consumo_Faturado!H19</f>
        <v>-30</v>
      </c>
      <c r="J19" s="6">
        <f>Consumo_Medido!I19-Consumo_Faturado!I19</f>
        <v>-28</v>
      </c>
      <c r="K19" s="6">
        <f>Consumo_Medido!J19-Consumo_Faturado!J19</f>
        <v>-29</v>
      </c>
      <c r="L19" s="6">
        <f>Consumo_Medido!K19-Consumo_Faturado!K19</f>
        <v>-30</v>
      </c>
      <c r="M19" s="6">
        <f>Consumo_Medido!L19-Consumo_Faturado!L19</f>
        <v>-30</v>
      </c>
      <c r="N19" s="6">
        <f>Consumo_Medido!M19-Consumo_Faturado!M19</f>
        <v>-29</v>
      </c>
      <c r="O19" s="6">
        <f>Consumo_Medido!N19-Consumo_Faturado!N19</f>
        <v>-30</v>
      </c>
    </row>
    <row r="20" spans="1:15" hidden="1" x14ac:dyDescent="0.3">
      <c r="A20" s="1" t="s">
        <v>33</v>
      </c>
      <c r="B20" s="1" t="s">
        <v>14</v>
      </c>
      <c r="C20" s="1"/>
      <c r="D20" s="6">
        <f>Consumo_Medido!C20-Consumo_Faturado!C20</f>
        <v>0</v>
      </c>
      <c r="E20" s="6">
        <f>Consumo_Medido!D20-Consumo_Faturado!D20</f>
        <v>0</v>
      </c>
      <c r="F20" s="6">
        <f>Consumo_Medido!E20-Consumo_Faturado!E20</f>
        <v>0</v>
      </c>
      <c r="G20" s="6">
        <f>Consumo_Medido!F20-Consumo_Faturado!F20</f>
        <v>0</v>
      </c>
      <c r="H20" s="6">
        <f>Consumo_Medido!G20-Consumo_Faturado!G20</f>
        <v>0</v>
      </c>
      <c r="I20" s="6">
        <f>Consumo_Medido!H20-Consumo_Faturado!H20</f>
        <v>0</v>
      </c>
      <c r="J20" s="6">
        <f>Consumo_Medido!I20-Consumo_Faturado!I20</f>
        <v>0</v>
      </c>
      <c r="K20" s="6">
        <f>Consumo_Medido!J20-Consumo_Faturado!J20</f>
        <v>0</v>
      </c>
      <c r="L20" s="6">
        <f>Consumo_Medido!K20-Consumo_Faturado!K20</f>
        <v>0</v>
      </c>
      <c r="M20" s="6">
        <f>Consumo_Medido!L20-Consumo_Faturado!L20</f>
        <v>0</v>
      </c>
      <c r="N20" s="6">
        <f>Consumo_Medido!M20-Consumo_Faturado!M20</f>
        <v>0</v>
      </c>
      <c r="O20" s="6">
        <f>Consumo_Medido!N20-Consumo_Faturado!N20</f>
        <v>0</v>
      </c>
    </row>
    <row r="21" spans="1:15" hidden="1" x14ac:dyDescent="0.3">
      <c r="A21" s="1" t="s">
        <v>34</v>
      </c>
      <c r="B21" s="1" t="s">
        <v>14</v>
      </c>
      <c r="C21" s="1"/>
      <c r="D21" s="6">
        <f>Consumo_Medido!C21-Consumo_Faturado!C21</f>
        <v>0</v>
      </c>
      <c r="E21" s="6">
        <f>Consumo_Medido!D21-Consumo_Faturado!D21</f>
        <v>-30</v>
      </c>
      <c r="F21" s="6">
        <f>Consumo_Medido!E21-Consumo_Faturado!E21</f>
        <v>-30</v>
      </c>
      <c r="G21" s="6">
        <f>Consumo_Medido!F21-Consumo_Faturado!F21</f>
        <v>-30</v>
      </c>
      <c r="H21" s="6">
        <f>Consumo_Medido!G21-Consumo_Faturado!G21</f>
        <v>-30</v>
      </c>
      <c r="I21" s="6">
        <f>Consumo_Medido!H21-Consumo_Faturado!H21</f>
        <v>-30</v>
      </c>
      <c r="J21" s="6">
        <f>Consumo_Medido!I21-Consumo_Faturado!I21</f>
        <v>-30</v>
      </c>
      <c r="K21" s="6">
        <f>Consumo_Medido!J21-Consumo_Faturado!J21</f>
        <v>-30</v>
      </c>
      <c r="L21" s="6">
        <f>Consumo_Medido!K21-Consumo_Faturado!K21</f>
        <v>-30</v>
      </c>
      <c r="M21" s="6">
        <f>Consumo_Medido!L21-Consumo_Faturado!L21</f>
        <v>-30</v>
      </c>
      <c r="N21" s="6">
        <f>Consumo_Medido!M21-Consumo_Faturado!M21</f>
        <v>-30</v>
      </c>
      <c r="O21" s="6">
        <f>Consumo_Medido!N21-Consumo_Faturado!N21</f>
        <v>-30</v>
      </c>
    </row>
    <row r="22" spans="1:15" hidden="1" x14ac:dyDescent="0.3">
      <c r="A22" s="1" t="s">
        <v>35</v>
      </c>
      <c r="B22" s="1" t="s">
        <v>14</v>
      </c>
      <c r="C22" s="1"/>
      <c r="D22" s="6">
        <f>Consumo_Medido!C22-Consumo_Faturado!C22</f>
        <v>0</v>
      </c>
      <c r="E22" s="6">
        <f>Consumo_Medido!D22-Consumo_Faturado!D22</f>
        <v>-30</v>
      </c>
      <c r="F22" s="6">
        <f>Consumo_Medido!E22-Consumo_Faturado!E22</f>
        <v>-30</v>
      </c>
      <c r="G22" s="6">
        <f>Consumo_Medido!F22-Consumo_Faturado!F22</f>
        <v>-30</v>
      </c>
      <c r="H22" s="6">
        <f>Consumo_Medido!G22-Consumo_Faturado!G22</f>
        <v>-30</v>
      </c>
      <c r="I22" s="6">
        <f>Consumo_Medido!H22-Consumo_Faturado!H22</f>
        <v>-30</v>
      </c>
      <c r="J22" s="6">
        <f>Consumo_Medido!I22-Consumo_Faturado!I22</f>
        <v>-30</v>
      </c>
      <c r="K22" s="6">
        <f>Consumo_Medido!J22-Consumo_Faturado!J22</f>
        <v>-30</v>
      </c>
      <c r="L22" s="6">
        <f>Consumo_Medido!K22-Consumo_Faturado!K22</f>
        <v>-30</v>
      </c>
      <c r="M22" s="6">
        <f>Consumo_Medido!L22-Consumo_Faturado!L22</f>
        <v>-30</v>
      </c>
      <c r="N22" s="6">
        <f>Consumo_Medido!M22-Consumo_Faturado!M22</f>
        <v>-30</v>
      </c>
      <c r="O22" s="6">
        <f>Consumo_Medido!N22-Consumo_Faturado!N22</f>
        <v>-30</v>
      </c>
    </row>
    <row r="23" spans="1:15" hidden="1" x14ac:dyDescent="0.3">
      <c r="A23" s="1" t="s">
        <v>36</v>
      </c>
      <c r="B23" s="1" t="s">
        <v>14</v>
      </c>
      <c r="C23" s="1"/>
      <c r="D23" s="6">
        <f>Consumo_Medido!C23-Consumo_Faturado!C23</f>
        <v>0</v>
      </c>
      <c r="E23" s="6">
        <f>Consumo_Medido!D23-Consumo_Faturado!D23</f>
        <v>0</v>
      </c>
      <c r="F23" s="6">
        <f>Consumo_Medido!E23-Consumo_Faturado!E23</f>
        <v>0</v>
      </c>
      <c r="G23" s="6">
        <f>Consumo_Medido!F23-Consumo_Faturado!F23</f>
        <v>0</v>
      </c>
      <c r="H23" s="6">
        <f>Consumo_Medido!G23-Consumo_Faturado!G23</f>
        <v>0</v>
      </c>
      <c r="I23" s="6">
        <f>Consumo_Medido!H23-Consumo_Faturado!H23</f>
        <v>0</v>
      </c>
      <c r="J23" s="6">
        <f>Consumo_Medido!I23-Consumo_Faturado!I23</f>
        <v>0</v>
      </c>
      <c r="K23" s="6">
        <f>Consumo_Medido!J23-Consumo_Faturado!J23</f>
        <v>0</v>
      </c>
      <c r="L23" s="6">
        <f>Consumo_Medido!K23-Consumo_Faturado!K23</f>
        <v>0</v>
      </c>
      <c r="M23" s="6">
        <f>Consumo_Medido!L23-Consumo_Faturado!L23</f>
        <v>0</v>
      </c>
      <c r="N23" s="6">
        <f>Consumo_Medido!M23-Consumo_Faturado!M23</f>
        <v>0</v>
      </c>
      <c r="O23" s="6">
        <f>Consumo_Medido!N23-Consumo_Faturado!N23</f>
        <v>0</v>
      </c>
    </row>
    <row r="24" spans="1:15" hidden="1" x14ac:dyDescent="0.3">
      <c r="A24" s="1" t="s">
        <v>37</v>
      </c>
      <c r="B24" s="3" t="s">
        <v>16</v>
      </c>
      <c r="C24" s="7" t="str">
        <f t="shared" ref="C24:C26" si="2">IF(COUNTIF(D24:O24,"&lt;&gt;0")&gt;0,"Reclamar","Só zeros")</f>
        <v>Reclamar</v>
      </c>
      <c r="D24" s="6">
        <f>Consumo_Medido!C24-Consumo_Faturado!C24</f>
        <v>0</v>
      </c>
      <c r="E24" s="6">
        <f>Consumo_Medido!D24-Consumo_Faturado!D24</f>
        <v>0</v>
      </c>
      <c r="F24" s="6">
        <f>Consumo_Medido!E24-Consumo_Faturado!E24</f>
        <v>0</v>
      </c>
      <c r="G24" s="6">
        <f>Consumo_Medido!F24-Consumo_Faturado!F24</f>
        <v>0</v>
      </c>
      <c r="H24" s="6">
        <f>Consumo_Medido!G24-Consumo_Faturado!G24</f>
        <v>-6</v>
      </c>
      <c r="I24" s="6">
        <f>Consumo_Medido!H24-Consumo_Faturado!H24</f>
        <v>0</v>
      </c>
      <c r="J24" s="6">
        <f>Consumo_Medido!I24-Consumo_Faturado!I24</f>
        <v>0</v>
      </c>
      <c r="K24" s="6">
        <f>Consumo_Medido!J24-Consumo_Faturado!J24</f>
        <v>0</v>
      </c>
      <c r="L24" s="6">
        <f>Consumo_Medido!K24-Consumo_Faturado!K24</f>
        <v>0</v>
      </c>
      <c r="M24" s="6">
        <f>Consumo_Medido!L24-Consumo_Faturado!L24</f>
        <v>0</v>
      </c>
      <c r="N24" s="6">
        <f>Consumo_Medido!M24-Consumo_Faturado!M24</f>
        <v>0</v>
      </c>
      <c r="O24" s="6">
        <f>Consumo_Medido!N24-Consumo_Faturado!N24</f>
        <v>0</v>
      </c>
    </row>
    <row r="25" spans="1:15" hidden="1" x14ac:dyDescent="0.3">
      <c r="A25" s="1" t="s">
        <v>38</v>
      </c>
      <c r="B25" s="3" t="s">
        <v>16</v>
      </c>
      <c r="C25" s="7" t="str">
        <f t="shared" si="2"/>
        <v>Só zeros</v>
      </c>
      <c r="D25" s="6">
        <f>Consumo_Medido!C25-Consumo_Faturado!C25</f>
        <v>0</v>
      </c>
      <c r="E25" s="6">
        <f>Consumo_Medido!D25-Consumo_Faturado!D25</f>
        <v>0</v>
      </c>
      <c r="F25" s="6">
        <f>Consumo_Medido!E25-Consumo_Faturado!E25</f>
        <v>0</v>
      </c>
      <c r="G25" s="6">
        <f>Consumo_Medido!F25-Consumo_Faturado!F25</f>
        <v>0</v>
      </c>
      <c r="H25" s="6">
        <f>Consumo_Medido!G25-Consumo_Faturado!G25</f>
        <v>0</v>
      </c>
      <c r="I25" s="6">
        <f>Consumo_Medido!H25-Consumo_Faturado!H25</f>
        <v>0</v>
      </c>
      <c r="J25" s="6">
        <f>Consumo_Medido!I25-Consumo_Faturado!I25</f>
        <v>0</v>
      </c>
      <c r="K25" s="6">
        <f>Consumo_Medido!J25-Consumo_Faturado!J25</f>
        <v>0</v>
      </c>
      <c r="L25" s="6">
        <f>Consumo_Medido!K25-Consumo_Faturado!K25</f>
        <v>0</v>
      </c>
      <c r="M25" s="6">
        <f>Consumo_Medido!L25-Consumo_Faturado!L25</f>
        <v>0</v>
      </c>
      <c r="N25" s="6">
        <f>Consumo_Medido!M25-Consumo_Faturado!M25</f>
        <v>0</v>
      </c>
      <c r="O25" s="6">
        <f>Consumo_Medido!N25-Consumo_Faturado!N25</f>
        <v>0</v>
      </c>
    </row>
    <row r="26" spans="1:15" hidden="1" x14ac:dyDescent="0.3">
      <c r="A26" s="1" t="s">
        <v>39</v>
      </c>
      <c r="B26" s="3" t="s">
        <v>16</v>
      </c>
      <c r="C26" s="7" t="str">
        <f t="shared" si="2"/>
        <v>Reclamar</v>
      </c>
      <c r="D26" s="6">
        <f>Consumo_Medido!C26-Consumo_Faturado!C26</f>
        <v>0</v>
      </c>
      <c r="E26" s="6">
        <f>Consumo_Medido!D26-Consumo_Faturado!D26</f>
        <v>0</v>
      </c>
      <c r="F26" s="6">
        <f>Consumo_Medido!E26-Consumo_Faturado!E26</f>
        <v>0</v>
      </c>
      <c r="G26" s="6">
        <f>Consumo_Medido!F26-Consumo_Faturado!F26</f>
        <v>0</v>
      </c>
      <c r="H26" s="6">
        <f>Consumo_Medido!G26-Consumo_Faturado!G26</f>
        <v>0</v>
      </c>
      <c r="I26" s="6">
        <f>Consumo_Medido!H26-Consumo_Faturado!H26</f>
        <v>0</v>
      </c>
      <c r="J26" s="6">
        <f>Consumo_Medido!I26-Consumo_Faturado!I26</f>
        <v>0</v>
      </c>
      <c r="K26" s="6">
        <f>Consumo_Medido!J26-Consumo_Faturado!J26</f>
        <v>0</v>
      </c>
      <c r="L26" s="6">
        <f>Consumo_Medido!K26-Consumo_Faturado!K26</f>
        <v>0</v>
      </c>
      <c r="M26" s="6">
        <f>Consumo_Medido!L26-Consumo_Faturado!L26</f>
        <v>0</v>
      </c>
      <c r="N26" s="6">
        <f>Consumo_Medido!M26-Consumo_Faturado!M26</f>
        <v>-30</v>
      </c>
      <c r="O26" s="6">
        <f>Consumo_Medido!N26-Consumo_Faturado!N26</f>
        <v>-30</v>
      </c>
    </row>
    <row r="27" spans="1:15" hidden="1" x14ac:dyDescent="0.3">
      <c r="A27" s="1" t="s">
        <v>40</v>
      </c>
      <c r="B27" s="1" t="s">
        <v>14</v>
      </c>
      <c r="C27" s="1"/>
      <c r="D27" s="6">
        <f>Consumo_Medido!C27-Consumo_Faturado!C27</f>
        <v>0</v>
      </c>
      <c r="E27" s="6">
        <f>Consumo_Medido!D27-Consumo_Faturado!D27</f>
        <v>0</v>
      </c>
      <c r="F27" s="6">
        <f>Consumo_Medido!E27-Consumo_Faturado!E27</f>
        <v>-30</v>
      </c>
      <c r="G27" s="6">
        <f>Consumo_Medido!F27-Consumo_Faturado!F27</f>
        <v>0</v>
      </c>
      <c r="H27" s="6">
        <f>Consumo_Medido!G27-Consumo_Faturado!G27</f>
        <v>0</v>
      </c>
      <c r="I27" s="6">
        <f>Consumo_Medido!H27-Consumo_Faturado!H27</f>
        <v>0</v>
      </c>
      <c r="J27" s="6">
        <f>Consumo_Medido!I27-Consumo_Faturado!I27</f>
        <v>0</v>
      </c>
      <c r="K27" s="6">
        <f>Consumo_Medido!J27-Consumo_Faturado!J27</f>
        <v>0</v>
      </c>
      <c r="L27" s="6">
        <f>Consumo_Medido!K27-Consumo_Faturado!K27</f>
        <v>0</v>
      </c>
      <c r="M27" s="6">
        <f>Consumo_Medido!L27-Consumo_Faturado!L27</f>
        <v>0</v>
      </c>
      <c r="N27" s="6">
        <f>Consumo_Medido!M27-Consumo_Faturado!M27</f>
        <v>0</v>
      </c>
      <c r="O27" s="6">
        <f>Consumo_Medido!N27-Consumo_Faturado!N27</f>
        <v>0</v>
      </c>
    </row>
    <row r="28" spans="1:15" hidden="1" x14ac:dyDescent="0.3">
      <c r="A28" s="1" t="s">
        <v>41</v>
      </c>
      <c r="B28" s="3" t="s">
        <v>16</v>
      </c>
      <c r="C28" s="7" t="str">
        <f>IF(COUNTIF(D28:O28,"&lt;&gt;0")&gt;0,"Reclamar","Só zeros")</f>
        <v>Reclamar</v>
      </c>
      <c r="D28" s="6">
        <f>Consumo_Medido!C28-Consumo_Faturado!C28</f>
        <v>0</v>
      </c>
      <c r="E28" s="6">
        <f>Consumo_Medido!D28-Consumo_Faturado!D28</f>
        <v>-30</v>
      </c>
      <c r="F28" s="6">
        <f>Consumo_Medido!E28-Consumo_Faturado!E28</f>
        <v>-30</v>
      </c>
      <c r="G28" s="6">
        <f>Consumo_Medido!F28-Consumo_Faturado!F28</f>
        <v>-30</v>
      </c>
      <c r="H28" s="6">
        <f>Consumo_Medido!G28-Consumo_Faturado!G28</f>
        <v>-30</v>
      </c>
      <c r="I28" s="6">
        <f>Consumo_Medido!H28-Consumo_Faturado!H28</f>
        <v>0</v>
      </c>
      <c r="J28" s="6">
        <f>Consumo_Medido!I28-Consumo_Faturado!I28</f>
        <v>-28</v>
      </c>
      <c r="K28" s="6">
        <f>Consumo_Medido!J28-Consumo_Faturado!J28</f>
        <v>-30</v>
      </c>
      <c r="L28" s="6">
        <f>Consumo_Medido!K28-Consumo_Faturado!K28</f>
        <v>-30</v>
      </c>
      <c r="M28" s="6">
        <f>Consumo_Medido!L28-Consumo_Faturado!L28</f>
        <v>-30</v>
      </c>
      <c r="N28" s="6">
        <f>Consumo_Medido!M28-Consumo_Faturado!M28</f>
        <v>-30</v>
      </c>
      <c r="O28" s="6">
        <f>Consumo_Medido!N28-Consumo_Faturado!N28</f>
        <v>-30</v>
      </c>
    </row>
    <row r="29" spans="1:15" hidden="1" x14ac:dyDescent="0.3">
      <c r="A29" s="1" t="s">
        <v>42</v>
      </c>
      <c r="B29" s="1" t="s">
        <v>14</v>
      </c>
      <c r="C29" s="1"/>
      <c r="D29" s="6">
        <f>Consumo_Medido!C29-Consumo_Faturado!C29</f>
        <v>0</v>
      </c>
      <c r="E29" s="6">
        <f>Consumo_Medido!D29-Consumo_Faturado!D29</f>
        <v>0</v>
      </c>
      <c r="F29" s="6">
        <f>Consumo_Medido!E29-Consumo_Faturado!E29</f>
        <v>0</v>
      </c>
      <c r="G29" s="6">
        <f>Consumo_Medido!F29-Consumo_Faturado!F29</f>
        <v>0</v>
      </c>
      <c r="H29" s="6">
        <f>Consumo_Medido!G29-Consumo_Faturado!G29</f>
        <v>0</v>
      </c>
      <c r="I29" s="6">
        <f>Consumo_Medido!H29-Consumo_Faturado!H29</f>
        <v>0</v>
      </c>
      <c r="J29" s="6">
        <f>Consumo_Medido!I29-Consumo_Faturado!I29</f>
        <v>0</v>
      </c>
      <c r="K29" s="6">
        <f>Consumo_Medido!J29-Consumo_Faturado!J29</f>
        <v>0</v>
      </c>
      <c r="L29" s="6">
        <f>Consumo_Medido!K29-Consumo_Faturado!K29</f>
        <v>0</v>
      </c>
      <c r="M29" s="6">
        <f>Consumo_Medido!L29-Consumo_Faturado!L29</f>
        <v>0</v>
      </c>
      <c r="N29" s="6">
        <f>Consumo_Medido!M29-Consumo_Faturado!M29</f>
        <v>0</v>
      </c>
      <c r="O29" s="6">
        <f>Consumo_Medido!N29-Consumo_Faturado!N29</f>
        <v>0</v>
      </c>
    </row>
    <row r="30" spans="1:15" hidden="1" x14ac:dyDescent="0.3">
      <c r="A30" s="1" t="s">
        <v>43</v>
      </c>
      <c r="B30" s="1" t="s">
        <v>14</v>
      </c>
      <c r="C30" s="1"/>
      <c r="D30" s="6">
        <f>Consumo_Medido!C30-Consumo_Faturado!C30</f>
        <v>0</v>
      </c>
      <c r="E30" s="6">
        <f>Consumo_Medido!D30-Consumo_Faturado!D30</f>
        <v>0</v>
      </c>
      <c r="F30" s="6">
        <f>Consumo_Medido!E30-Consumo_Faturado!E30</f>
        <v>0</v>
      </c>
      <c r="G30" s="6">
        <f>Consumo_Medido!F30-Consumo_Faturado!F30</f>
        <v>0</v>
      </c>
      <c r="H30" s="6">
        <f>Consumo_Medido!G30-Consumo_Faturado!G30</f>
        <v>0</v>
      </c>
      <c r="I30" s="6">
        <f>Consumo_Medido!H30-Consumo_Faturado!H30</f>
        <v>0</v>
      </c>
      <c r="J30" s="6">
        <f>Consumo_Medido!I30-Consumo_Faturado!I30</f>
        <v>0</v>
      </c>
      <c r="K30" s="6">
        <f>Consumo_Medido!J30-Consumo_Faturado!J30</f>
        <v>0</v>
      </c>
      <c r="L30" s="6">
        <f>Consumo_Medido!K30-Consumo_Faturado!K30</f>
        <v>0</v>
      </c>
      <c r="M30" s="6">
        <f>Consumo_Medido!L30-Consumo_Faturado!L30</f>
        <v>0</v>
      </c>
      <c r="N30" s="6">
        <f>Consumo_Medido!M30-Consumo_Faturado!M30</f>
        <v>0</v>
      </c>
      <c r="O30" s="6">
        <f>Consumo_Medido!N30-Consumo_Faturado!N30</f>
        <v>0</v>
      </c>
    </row>
    <row r="31" spans="1:15" hidden="1" x14ac:dyDescent="0.3">
      <c r="A31" s="1" t="s">
        <v>44</v>
      </c>
      <c r="B31" s="1" t="s">
        <v>14</v>
      </c>
      <c r="C31" s="1"/>
      <c r="D31" s="6">
        <f>Consumo_Medido!C31-Consumo_Faturado!C31</f>
        <v>0</v>
      </c>
      <c r="E31" s="6">
        <f>Consumo_Medido!D31-Consumo_Faturado!D31</f>
        <v>-97</v>
      </c>
      <c r="F31" s="6">
        <f>Consumo_Medido!E31-Consumo_Faturado!E31</f>
        <v>-100</v>
      </c>
      <c r="G31" s="6">
        <f>Consumo_Medido!F31-Consumo_Faturado!F31</f>
        <v>-100</v>
      </c>
      <c r="H31" s="6">
        <f>Consumo_Medido!G31-Consumo_Faturado!G31</f>
        <v>-100</v>
      </c>
      <c r="I31" s="6">
        <f>Consumo_Medido!H31-Consumo_Faturado!H31</f>
        <v>-100</v>
      </c>
      <c r="J31" s="6">
        <f>Consumo_Medido!I31-Consumo_Faturado!I31</f>
        <v>-100</v>
      </c>
      <c r="K31" s="6">
        <f>Consumo_Medido!J31-Consumo_Faturado!J31</f>
        <v>-99</v>
      </c>
      <c r="L31" s="6">
        <f>Consumo_Medido!K31-Consumo_Faturado!K31</f>
        <v>-99</v>
      </c>
      <c r="M31" s="6">
        <f>Consumo_Medido!L31-Consumo_Faturado!L31</f>
        <v>-100</v>
      </c>
      <c r="N31" s="6">
        <f>Consumo_Medido!M31-Consumo_Faturado!M31</f>
        <v>-100</v>
      </c>
      <c r="O31" s="6">
        <f>Consumo_Medido!N31-Consumo_Faturado!N31</f>
        <v>-100</v>
      </c>
    </row>
    <row r="32" spans="1:15" hidden="1" x14ac:dyDescent="0.3">
      <c r="A32" s="1" t="s">
        <v>45</v>
      </c>
      <c r="B32" s="1" t="s">
        <v>14</v>
      </c>
      <c r="C32" s="1"/>
      <c r="D32" s="6">
        <f>Consumo_Medido!C32-Consumo_Faturado!C32</f>
        <v>0</v>
      </c>
      <c r="E32" s="6">
        <f>Consumo_Medido!D32-Consumo_Faturado!D32</f>
        <v>0</v>
      </c>
      <c r="F32" s="6">
        <f>Consumo_Medido!E32-Consumo_Faturado!E32</f>
        <v>0</v>
      </c>
      <c r="G32" s="6">
        <f>Consumo_Medido!F32-Consumo_Faturado!F32</f>
        <v>0</v>
      </c>
      <c r="H32" s="6">
        <f>Consumo_Medido!G32-Consumo_Faturado!G32</f>
        <v>0</v>
      </c>
      <c r="I32" s="6">
        <f>Consumo_Medido!H32-Consumo_Faturado!H32</f>
        <v>0</v>
      </c>
      <c r="J32" s="6">
        <f>Consumo_Medido!I32-Consumo_Faturado!I32</f>
        <v>0</v>
      </c>
      <c r="K32" s="6">
        <f>Consumo_Medido!J32-Consumo_Faturado!J32</f>
        <v>0</v>
      </c>
      <c r="L32" s="6">
        <f>Consumo_Medido!K32-Consumo_Faturado!K32</f>
        <v>0</v>
      </c>
      <c r="M32" s="6">
        <f>Consumo_Medido!L32-Consumo_Faturado!L32</f>
        <v>0</v>
      </c>
      <c r="N32" s="6">
        <f>Consumo_Medido!M32-Consumo_Faturado!M32</f>
        <v>0</v>
      </c>
      <c r="O32" s="6">
        <f>Consumo_Medido!N32-Consumo_Faturado!N32</f>
        <v>0</v>
      </c>
    </row>
    <row r="33" spans="1:15" hidden="1" x14ac:dyDescent="0.3">
      <c r="A33" s="1" t="s">
        <v>46</v>
      </c>
      <c r="B33" s="1" t="s">
        <v>14</v>
      </c>
      <c r="C33" s="1"/>
      <c r="D33" s="6">
        <f>Consumo_Medido!C33-Consumo_Faturado!C33</f>
        <v>0</v>
      </c>
      <c r="E33" s="6">
        <f>Consumo_Medido!D33-Consumo_Faturado!D33</f>
        <v>-29</v>
      </c>
      <c r="F33" s="6">
        <f>Consumo_Medido!E33-Consumo_Faturado!E33</f>
        <v>-30</v>
      </c>
      <c r="G33" s="6">
        <f>Consumo_Medido!F33-Consumo_Faturado!F33</f>
        <v>-30</v>
      </c>
      <c r="H33" s="6">
        <f>Consumo_Medido!G33-Consumo_Faturado!G33</f>
        <v>0</v>
      </c>
      <c r="I33" s="6">
        <f>Consumo_Medido!H33-Consumo_Faturado!H33</f>
        <v>0</v>
      </c>
      <c r="J33" s="6">
        <f>Consumo_Medido!I33-Consumo_Faturado!I33</f>
        <v>0</v>
      </c>
      <c r="K33" s="6">
        <f>Consumo_Medido!J33-Consumo_Faturado!J33</f>
        <v>0</v>
      </c>
      <c r="L33" s="6">
        <f>Consumo_Medido!K33-Consumo_Faturado!K33</f>
        <v>0</v>
      </c>
      <c r="M33" s="6">
        <f>Consumo_Medido!L33-Consumo_Faturado!L33</f>
        <v>0</v>
      </c>
      <c r="N33" s="6">
        <f>Consumo_Medido!M33-Consumo_Faturado!M33</f>
        <v>0</v>
      </c>
      <c r="O33" s="6">
        <f>Consumo_Medido!N33-Consumo_Faturado!N33</f>
        <v>0</v>
      </c>
    </row>
    <row r="34" spans="1:15" hidden="1" x14ac:dyDescent="0.3">
      <c r="A34" s="1" t="s">
        <v>47</v>
      </c>
      <c r="B34" s="1" t="s">
        <v>14</v>
      </c>
      <c r="C34" s="1"/>
      <c r="D34" s="6">
        <f>Consumo_Medido!C34-Consumo_Faturado!C34</f>
        <v>0</v>
      </c>
      <c r="E34" s="6">
        <f>Consumo_Medido!D34-Consumo_Faturado!D34</f>
        <v>0</v>
      </c>
      <c r="F34" s="6">
        <f>Consumo_Medido!E34-Consumo_Faturado!E34</f>
        <v>0</v>
      </c>
      <c r="G34" s="6">
        <f>Consumo_Medido!F34-Consumo_Faturado!F34</f>
        <v>0</v>
      </c>
      <c r="H34" s="6">
        <f>Consumo_Medido!G34-Consumo_Faturado!G34</f>
        <v>0</v>
      </c>
      <c r="I34" s="6">
        <f>Consumo_Medido!H34-Consumo_Faturado!H34</f>
        <v>0</v>
      </c>
      <c r="J34" s="6">
        <f>Consumo_Medido!I34-Consumo_Faturado!I34</f>
        <v>-14</v>
      </c>
      <c r="K34" s="6">
        <f>Consumo_Medido!J34-Consumo_Faturado!J34</f>
        <v>-23</v>
      </c>
      <c r="L34" s="6">
        <f>Consumo_Medido!K34-Consumo_Faturado!K34</f>
        <v>0</v>
      </c>
      <c r="M34" s="6">
        <f>Consumo_Medido!L34-Consumo_Faturado!L34</f>
        <v>0</v>
      </c>
      <c r="N34" s="6">
        <f>Consumo_Medido!M34-Consumo_Faturado!M34</f>
        <v>0</v>
      </c>
      <c r="O34" s="6">
        <f>Consumo_Medido!N34-Consumo_Faturado!N34</f>
        <v>0</v>
      </c>
    </row>
    <row r="35" spans="1:15" hidden="1" x14ac:dyDescent="0.3">
      <c r="A35" s="1" t="s">
        <v>48</v>
      </c>
      <c r="B35" s="1" t="s">
        <v>14</v>
      </c>
      <c r="C35" s="1"/>
      <c r="D35" s="6">
        <f>Consumo_Medido!C35-Consumo_Faturado!C35</f>
        <v>0</v>
      </c>
      <c r="E35" s="6">
        <f>Consumo_Medido!D35-Consumo_Faturado!D35</f>
        <v>-30</v>
      </c>
      <c r="F35" s="6">
        <f>Consumo_Medido!E35-Consumo_Faturado!E35</f>
        <v>-30</v>
      </c>
      <c r="G35" s="6">
        <f>Consumo_Medido!F35-Consumo_Faturado!F35</f>
        <v>-30</v>
      </c>
      <c r="H35" s="6">
        <f>Consumo_Medido!G35-Consumo_Faturado!G35</f>
        <v>-30</v>
      </c>
      <c r="I35" s="6">
        <f>Consumo_Medido!H35-Consumo_Faturado!H35</f>
        <v>-30</v>
      </c>
      <c r="J35" s="6">
        <f>Consumo_Medido!I35-Consumo_Faturado!I35</f>
        <v>-30</v>
      </c>
      <c r="K35" s="6">
        <f>Consumo_Medido!J35-Consumo_Faturado!J35</f>
        <v>-30</v>
      </c>
      <c r="L35" s="6">
        <f>Consumo_Medido!K35-Consumo_Faturado!K35</f>
        <v>-30</v>
      </c>
      <c r="M35" s="6">
        <f>Consumo_Medido!L35-Consumo_Faturado!L35</f>
        <v>-30</v>
      </c>
      <c r="N35" s="6">
        <f>Consumo_Medido!M35-Consumo_Faturado!M35</f>
        <v>-30</v>
      </c>
      <c r="O35" s="6">
        <f>Consumo_Medido!N35-Consumo_Faturado!N35</f>
        <v>-30</v>
      </c>
    </row>
    <row r="36" spans="1:15" hidden="1" x14ac:dyDescent="0.3">
      <c r="A36" s="1" t="s">
        <v>49</v>
      </c>
      <c r="B36" s="1" t="s">
        <v>14</v>
      </c>
      <c r="C36" s="1"/>
      <c r="D36" s="6">
        <f>Consumo_Medido!C36-Consumo_Faturado!C36</f>
        <v>0</v>
      </c>
      <c r="E36" s="6">
        <f>Consumo_Medido!D36-Consumo_Faturado!D36</f>
        <v>0</v>
      </c>
      <c r="F36" s="6">
        <f>Consumo_Medido!E36-Consumo_Faturado!E36</f>
        <v>0</v>
      </c>
      <c r="G36" s="6">
        <f>Consumo_Medido!F36-Consumo_Faturado!F36</f>
        <v>0</v>
      </c>
      <c r="H36" s="6">
        <f>Consumo_Medido!G36-Consumo_Faturado!G36</f>
        <v>0</v>
      </c>
      <c r="I36" s="6">
        <f>Consumo_Medido!H36-Consumo_Faturado!H36</f>
        <v>0</v>
      </c>
      <c r="J36" s="6">
        <f>Consumo_Medido!I36-Consumo_Faturado!I36</f>
        <v>0</v>
      </c>
      <c r="K36" s="6">
        <f>Consumo_Medido!J36-Consumo_Faturado!J36</f>
        <v>0</v>
      </c>
      <c r="L36" s="6">
        <f>Consumo_Medido!K36-Consumo_Faturado!K36</f>
        <v>0</v>
      </c>
      <c r="M36" s="6">
        <f>Consumo_Medido!L36-Consumo_Faturado!L36</f>
        <v>0</v>
      </c>
      <c r="N36" s="6">
        <f>Consumo_Medido!M36-Consumo_Faturado!M36</f>
        <v>0</v>
      </c>
      <c r="O36" s="6">
        <f>Consumo_Medido!N36-Consumo_Faturado!N36</f>
        <v>0</v>
      </c>
    </row>
    <row r="37" spans="1:15" hidden="1" x14ac:dyDescent="0.3">
      <c r="A37" s="1" t="s">
        <v>50</v>
      </c>
      <c r="B37" s="1" t="s">
        <v>14</v>
      </c>
      <c r="C37" s="1"/>
      <c r="D37" s="6">
        <f>Consumo_Medido!C37-Consumo_Faturado!C37</f>
        <v>0</v>
      </c>
      <c r="E37" s="6">
        <f>Consumo_Medido!D37-Consumo_Faturado!D37</f>
        <v>0</v>
      </c>
      <c r="F37" s="6">
        <f>Consumo_Medido!E37-Consumo_Faturado!E37</f>
        <v>0</v>
      </c>
      <c r="G37" s="6">
        <f>Consumo_Medido!F37-Consumo_Faturado!F37</f>
        <v>0</v>
      </c>
      <c r="H37" s="6">
        <f>Consumo_Medido!G37-Consumo_Faturado!G37</f>
        <v>0</v>
      </c>
      <c r="I37" s="6">
        <f>Consumo_Medido!H37-Consumo_Faturado!H37</f>
        <v>0</v>
      </c>
      <c r="J37" s="6">
        <f>Consumo_Medido!I37-Consumo_Faturado!I37</f>
        <v>0</v>
      </c>
      <c r="K37" s="6">
        <f>Consumo_Medido!J37-Consumo_Faturado!J37</f>
        <v>0</v>
      </c>
      <c r="L37" s="6">
        <f>Consumo_Medido!K37-Consumo_Faturado!K37</f>
        <v>0</v>
      </c>
      <c r="M37" s="6">
        <f>Consumo_Medido!L37-Consumo_Faturado!L37</f>
        <v>0</v>
      </c>
      <c r="N37" s="6">
        <f>Consumo_Medido!M37-Consumo_Faturado!M37</f>
        <v>0</v>
      </c>
      <c r="O37" s="6">
        <f>Consumo_Medido!N37-Consumo_Faturado!N37</f>
        <v>0</v>
      </c>
    </row>
    <row r="38" spans="1:15" hidden="1" x14ac:dyDescent="0.3">
      <c r="A38" s="1" t="s">
        <v>51</v>
      </c>
      <c r="B38" s="1" t="s">
        <v>14</v>
      </c>
      <c r="C38" s="1"/>
      <c r="D38" s="6">
        <f>Consumo_Medido!C38-Consumo_Faturado!C38</f>
        <v>0</v>
      </c>
      <c r="E38" s="6">
        <f>Consumo_Medido!D38-Consumo_Faturado!D38</f>
        <v>0</v>
      </c>
      <c r="F38" s="6">
        <f>Consumo_Medido!E38-Consumo_Faturado!E38</f>
        <v>0</v>
      </c>
      <c r="G38" s="6">
        <f>Consumo_Medido!F38-Consumo_Faturado!F38</f>
        <v>0</v>
      </c>
      <c r="H38" s="6">
        <f>Consumo_Medido!G38-Consumo_Faturado!G38</f>
        <v>0</v>
      </c>
      <c r="I38" s="6">
        <f>Consumo_Medido!H38-Consumo_Faturado!H38</f>
        <v>0</v>
      </c>
      <c r="J38" s="6">
        <f>Consumo_Medido!I38-Consumo_Faturado!I38</f>
        <v>0</v>
      </c>
      <c r="K38" s="6">
        <f>Consumo_Medido!J38-Consumo_Faturado!J38</f>
        <v>0</v>
      </c>
      <c r="L38" s="6">
        <f>Consumo_Medido!K38-Consumo_Faturado!K38</f>
        <v>0</v>
      </c>
      <c r="M38" s="6">
        <f>Consumo_Medido!L38-Consumo_Faturado!L38</f>
        <v>0</v>
      </c>
      <c r="N38" s="6">
        <f>Consumo_Medido!M38-Consumo_Faturado!M38</f>
        <v>0</v>
      </c>
      <c r="O38" s="6">
        <f>Consumo_Medido!N38-Consumo_Faturado!N38</f>
        <v>0</v>
      </c>
    </row>
    <row r="39" spans="1:15" hidden="1" x14ac:dyDescent="0.3">
      <c r="A39" s="1" t="s">
        <v>52</v>
      </c>
      <c r="B39" s="3" t="s">
        <v>16</v>
      </c>
      <c r="C39" s="7" t="str">
        <f>IF(COUNTIF(D39:O39,"&lt;&gt;0")&gt;0,"Reclamar","Só zeros")</f>
        <v>Reclamar</v>
      </c>
      <c r="D39" s="6">
        <f>Consumo_Medido!C39-Consumo_Faturado!C39</f>
        <v>0</v>
      </c>
      <c r="E39" s="6">
        <f>Consumo_Medido!D39-Consumo_Faturado!D39</f>
        <v>-30</v>
      </c>
      <c r="F39" s="6">
        <f>Consumo_Medido!E39-Consumo_Faturado!E39</f>
        <v>-30</v>
      </c>
      <c r="G39" s="6">
        <f>Consumo_Medido!F39-Consumo_Faturado!F39</f>
        <v>-30</v>
      </c>
      <c r="H39" s="6">
        <f>Consumo_Medido!G39-Consumo_Faturado!G39</f>
        <v>-30</v>
      </c>
      <c r="I39" s="6">
        <f>Consumo_Medido!H39-Consumo_Faturado!H39</f>
        <v>-30</v>
      </c>
      <c r="J39" s="6">
        <f>Consumo_Medido!I39-Consumo_Faturado!I39</f>
        <v>0</v>
      </c>
      <c r="K39" s="6">
        <f>Consumo_Medido!J39-Consumo_Faturado!J39</f>
        <v>0</v>
      </c>
      <c r="L39" s="6">
        <f>Consumo_Medido!K39-Consumo_Faturado!K39</f>
        <v>-30</v>
      </c>
      <c r="M39" s="6">
        <f>Consumo_Medido!L39-Consumo_Faturado!L39</f>
        <v>-30</v>
      </c>
      <c r="N39" s="6">
        <f>Consumo_Medido!M39-Consumo_Faturado!M39</f>
        <v>-30</v>
      </c>
      <c r="O39" s="6">
        <f>Consumo_Medido!N39-Consumo_Faturado!N39</f>
        <v>-30</v>
      </c>
    </row>
    <row r="40" spans="1:15" hidden="1" x14ac:dyDescent="0.3">
      <c r="A40" s="1" t="s">
        <v>53</v>
      </c>
      <c r="B40" s="1" t="s">
        <v>14</v>
      </c>
      <c r="C40" s="1"/>
      <c r="D40" s="6">
        <f>Consumo_Medido!C40-Consumo_Faturado!C40</f>
        <v>0</v>
      </c>
      <c r="E40" s="6">
        <f>Consumo_Medido!D40-Consumo_Faturado!D40</f>
        <v>0</v>
      </c>
      <c r="F40" s="6">
        <f>Consumo_Medido!E40-Consumo_Faturado!E40</f>
        <v>0</v>
      </c>
      <c r="G40" s="6">
        <f>Consumo_Medido!F40-Consumo_Faturado!F40</f>
        <v>0</v>
      </c>
      <c r="H40" s="6">
        <f>Consumo_Medido!G40-Consumo_Faturado!G40</f>
        <v>0</v>
      </c>
      <c r="I40" s="6">
        <f>Consumo_Medido!H40-Consumo_Faturado!H40</f>
        <v>0</v>
      </c>
      <c r="J40" s="6">
        <f>Consumo_Medido!I40-Consumo_Faturado!I40</f>
        <v>0</v>
      </c>
      <c r="K40" s="6">
        <f>Consumo_Medido!J40-Consumo_Faturado!J40</f>
        <v>0</v>
      </c>
      <c r="L40" s="6">
        <f>Consumo_Medido!K40-Consumo_Faturado!K40</f>
        <v>0</v>
      </c>
      <c r="M40" s="6">
        <f>Consumo_Medido!L40-Consumo_Faturado!L40</f>
        <v>0</v>
      </c>
      <c r="N40" s="6">
        <f>Consumo_Medido!M40-Consumo_Faturado!M40</f>
        <v>0</v>
      </c>
      <c r="O40" s="6">
        <f>Consumo_Medido!N40-Consumo_Faturado!N40</f>
        <v>0</v>
      </c>
    </row>
    <row r="41" spans="1:15" hidden="1" x14ac:dyDescent="0.3">
      <c r="A41" s="1" t="s">
        <v>54</v>
      </c>
      <c r="B41" s="1" t="s">
        <v>14</v>
      </c>
      <c r="C41" s="1"/>
      <c r="D41" s="6">
        <f>Consumo_Medido!C41-Consumo_Faturado!C41</f>
        <v>0</v>
      </c>
      <c r="E41" s="6">
        <f>Consumo_Medido!D41-Consumo_Faturado!D41</f>
        <v>0</v>
      </c>
      <c r="F41" s="6">
        <f>Consumo_Medido!E41-Consumo_Faturado!E41</f>
        <v>0</v>
      </c>
      <c r="G41" s="6">
        <f>Consumo_Medido!F41-Consumo_Faturado!F41</f>
        <v>0</v>
      </c>
      <c r="H41" s="6">
        <f>Consumo_Medido!G41-Consumo_Faturado!G41</f>
        <v>0</v>
      </c>
      <c r="I41" s="6">
        <f>Consumo_Medido!H41-Consumo_Faturado!H41</f>
        <v>0</v>
      </c>
      <c r="J41" s="6">
        <f>Consumo_Medido!I41-Consumo_Faturado!I41</f>
        <v>0</v>
      </c>
      <c r="K41" s="6">
        <f>Consumo_Medido!J41-Consumo_Faturado!J41</f>
        <v>0</v>
      </c>
      <c r="L41" s="6">
        <f>Consumo_Medido!K41-Consumo_Faturado!K41</f>
        <v>0</v>
      </c>
      <c r="M41" s="6">
        <f>Consumo_Medido!L41-Consumo_Faturado!L41</f>
        <v>0</v>
      </c>
      <c r="N41" s="6">
        <f>Consumo_Medido!M41-Consumo_Faturado!M41</f>
        <v>0</v>
      </c>
      <c r="O41" s="6">
        <f>Consumo_Medido!N41-Consumo_Faturado!N41</f>
        <v>0</v>
      </c>
    </row>
    <row r="42" spans="1:15" hidden="1" x14ac:dyDescent="0.3">
      <c r="A42" s="1" t="s">
        <v>55</v>
      </c>
      <c r="B42" s="1" t="s">
        <v>14</v>
      </c>
      <c r="C42" s="1"/>
      <c r="D42" s="6">
        <f>Consumo_Medido!C42-Consumo_Faturado!C42</f>
        <v>0</v>
      </c>
      <c r="E42" s="6">
        <f>Consumo_Medido!D42-Consumo_Faturado!D42</f>
        <v>-13</v>
      </c>
      <c r="F42" s="6">
        <f>Consumo_Medido!E42-Consumo_Faturado!E42</f>
        <v>0</v>
      </c>
      <c r="G42" s="6">
        <f>Consumo_Medido!F42-Consumo_Faturado!F42</f>
        <v>0</v>
      </c>
      <c r="H42" s="6">
        <f>Consumo_Medido!G42-Consumo_Faturado!G42</f>
        <v>-3</v>
      </c>
      <c r="I42" s="6">
        <f>Consumo_Medido!H42-Consumo_Faturado!H42</f>
        <v>-2</v>
      </c>
      <c r="J42" s="6">
        <f>Consumo_Medido!I42-Consumo_Faturado!I42</f>
        <v>0</v>
      </c>
      <c r="K42" s="6">
        <f>Consumo_Medido!J42-Consumo_Faturado!J42</f>
        <v>-3</v>
      </c>
      <c r="L42" s="6">
        <f>Consumo_Medido!K42-Consumo_Faturado!K42</f>
        <v>-1</v>
      </c>
      <c r="M42" s="6">
        <f>Consumo_Medido!L42-Consumo_Faturado!L42</f>
        <v>-2</v>
      </c>
      <c r="N42" s="6">
        <f>Consumo_Medido!M42-Consumo_Faturado!M42</f>
        <v>0</v>
      </c>
      <c r="O42" s="6">
        <f>Consumo_Medido!N42-Consumo_Faturado!N42</f>
        <v>0</v>
      </c>
    </row>
    <row r="43" spans="1:15" hidden="1" x14ac:dyDescent="0.3">
      <c r="A43" s="1" t="s">
        <v>56</v>
      </c>
      <c r="B43" s="1" t="s">
        <v>14</v>
      </c>
      <c r="C43" s="1"/>
      <c r="D43" s="6">
        <f>Consumo_Medido!C43-Consumo_Faturado!C43</f>
        <v>0</v>
      </c>
      <c r="E43" s="6">
        <f>Consumo_Medido!D43-Consumo_Faturado!D43</f>
        <v>-100</v>
      </c>
      <c r="F43" s="6">
        <f>Consumo_Medido!E43-Consumo_Faturado!E43</f>
        <v>0</v>
      </c>
      <c r="G43" s="6">
        <f>Consumo_Medido!F43-Consumo_Faturado!F43</f>
        <v>0</v>
      </c>
      <c r="H43" s="6">
        <f>Consumo_Medido!G43-Consumo_Faturado!G43</f>
        <v>0</v>
      </c>
      <c r="I43" s="6">
        <f>Consumo_Medido!H43-Consumo_Faturado!H43</f>
        <v>0</v>
      </c>
      <c r="J43" s="6">
        <f>Consumo_Medido!I43-Consumo_Faturado!I43</f>
        <v>0</v>
      </c>
      <c r="K43" s="6">
        <f>Consumo_Medido!J43-Consumo_Faturado!J43</f>
        <v>0</v>
      </c>
      <c r="L43" s="6">
        <f>Consumo_Medido!K43-Consumo_Faturado!K43</f>
        <v>0</v>
      </c>
      <c r="M43" s="6">
        <f>Consumo_Medido!L43-Consumo_Faturado!L43</f>
        <v>0</v>
      </c>
      <c r="N43" s="6">
        <f>Consumo_Medido!M43-Consumo_Faturado!M43</f>
        <v>0</v>
      </c>
      <c r="O43" s="6">
        <f>Consumo_Medido!N43-Consumo_Faturado!N43</f>
        <v>0</v>
      </c>
    </row>
    <row r="44" spans="1:15" hidden="1" x14ac:dyDescent="0.3">
      <c r="A44" s="1" t="s">
        <v>57</v>
      </c>
      <c r="B44" s="1" t="s">
        <v>14</v>
      </c>
      <c r="C44" s="1"/>
      <c r="D44" s="6">
        <f>Consumo_Medido!C44-Consumo_Faturado!C44</f>
        <v>0</v>
      </c>
      <c r="E44" s="6">
        <f>Consumo_Medido!D44-Consumo_Faturado!D44</f>
        <v>0</v>
      </c>
      <c r="F44" s="6">
        <f>Consumo_Medido!E44-Consumo_Faturado!E44</f>
        <v>0</v>
      </c>
      <c r="G44" s="6">
        <f>Consumo_Medido!F44-Consumo_Faturado!F44</f>
        <v>0</v>
      </c>
      <c r="H44" s="6">
        <f>Consumo_Medido!G44-Consumo_Faturado!G44</f>
        <v>-100</v>
      </c>
      <c r="I44" s="6">
        <f>Consumo_Medido!H44-Consumo_Faturado!H44</f>
        <v>-100</v>
      </c>
      <c r="J44" s="6">
        <f>Consumo_Medido!I44-Consumo_Faturado!I44</f>
        <v>-100</v>
      </c>
      <c r="K44" s="6">
        <f>Consumo_Medido!J44-Consumo_Faturado!J44</f>
        <v>-100</v>
      </c>
      <c r="L44" s="6">
        <f>Consumo_Medido!K44-Consumo_Faturado!K44</f>
        <v>-100</v>
      </c>
      <c r="M44" s="6">
        <f>Consumo_Medido!L44-Consumo_Faturado!L44</f>
        <v>-100</v>
      </c>
      <c r="N44" s="6">
        <f>Consumo_Medido!M44-Consumo_Faturado!M44</f>
        <v>-100</v>
      </c>
      <c r="O44" s="6">
        <f>Consumo_Medido!N44-Consumo_Faturado!N44</f>
        <v>-100</v>
      </c>
    </row>
    <row r="45" spans="1:15" hidden="1" x14ac:dyDescent="0.3">
      <c r="A45" s="1" t="s">
        <v>58</v>
      </c>
      <c r="B45" s="1" t="s">
        <v>14</v>
      </c>
      <c r="C45" s="1"/>
      <c r="D45" s="6">
        <f>Consumo_Medido!C45-Consumo_Faturado!C45</f>
        <v>0</v>
      </c>
      <c r="E45" s="6">
        <f>Consumo_Medido!D45-Consumo_Faturado!D45</f>
        <v>0</v>
      </c>
      <c r="F45" s="6">
        <f>Consumo_Medido!E45-Consumo_Faturado!E45</f>
        <v>0</v>
      </c>
      <c r="G45" s="6">
        <f>Consumo_Medido!F45-Consumo_Faturado!F45</f>
        <v>0</v>
      </c>
      <c r="H45" s="6">
        <f>Consumo_Medido!G45-Consumo_Faturado!G45</f>
        <v>0</v>
      </c>
      <c r="I45" s="6">
        <f>Consumo_Medido!H45-Consumo_Faturado!H45</f>
        <v>0</v>
      </c>
      <c r="J45" s="6">
        <f>Consumo_Medido!I45-Consumo_Faturado!I45</f>
        <v>0</v>
      </c>
      <c r="K45" s="6">
        <f>Consumo_Medido!J45-Consumo_Faturado!J45</f>
        <v>0</v>
      </c>
      <c r="L45" s="6">
        <f>Consumo_Medido!K45-Consumo_Faturado!K45</f>
        <v>0</v>
      </c>
      <c r="M45" s="6">
        <f>Consumo_Medido!L45-Consumo_Faturado!L45</f>
        <v>0</v>
      </c>
      <c r="N45" s="6">
        <f>Consumo_Medido!M45-Consumo_Faturado!M45</f>
        <v>0</v>
      </c>
      <c r="O45" s="6">
        <f>Consumo_Medido!N45-Consumo_Faturado!N45</f>
        <v>0</v>
      </c>
    </row>
    <row r="46" spans="1:15" hidden="1" x14ac:dyDescent="0.3">
      <c r="A46" s="1" t="s">
        <v>59</v>
      </c>
      <c r="B46" s="1" t="s">
        <v>14</v>
      </c>
      <c r="C46" s="1"/>
      <c r="D46" s="6">
        <f>Consumo_Medido!C46-Consumo_Faturado!C46</f>
        <v>0</v>
      </c>
      <c r="E46" s="6">
        <f>Consumo_Medido!D46-Consumo_Faturado!D46</f>
        <v>0</v>
      </c>
      <c r="F46" s="6">
        <f>Consumo_Medido!E46-Consumo_Faturado!E46</f>
        <v>0</v>
      </c>
      <c r="G46" s="6">
        <f>Consumo_Medido!F46-Consumo_Faturado!F46</f>
        <v>0</v>
      </c>
      <c r="H46" s="6">
        <f>Consumo_Medido!G46-Consumo_Faturado!G46</f>
        <v>0</v>
      </c>
      <c r="I46" s="6">
        <f>Consumo_Medido!H46-Consumo_Faturado!H46</f>
        <v>0</v>
      </c>
      <c r="J46" s="6">
        <f>Consumo_Medido!I46-Consumo_Faturado!I46</f>
        <v>0</v>
      </c>
      <c r="K46" s="6">
        <f>Consumo_Medido!J46-Consumo_Faturado!J46</f>
        <v>0</v>
      </c>
      <c r="L46" s="6">
        <f>Consumo_Medido!K46-Consumo_Faturado!K46</f>
        <v>0</v>
      </c>
      <c r="M46" s="6">
        <f>Consumo_Medido!L46-Consumo_Faturado!L46</f>
        <v>0</v>
      </c>
      <c r="N46" s="6">
        <f>Consumo_Medido!M46-Consumo_Faturado!M46</f>
        <v>0</v>
      </c>
      <c r="O46" s="6">
        <f>Consumo_Medido!N46-Consumo_Faturado!N46</f>
        <v>0</v>
      </c>
    </row>
    <row r="47" spans="1:15" hidden="1" x14ac:dyDescent="0.3">
      <c r="A47" s="1" t="s">
        <v>60</v>
      </c>
      <c r="B47" s="1" t="s">
        <v>14</v>
      </c>
      <c r="C47" s="1"/>
      <c r="D47" s="6">
        <f>Consumo_Medido!C47-Consumo_Faturado!C47</f>
        <v>0</v>
      </c>
      <c r="E47" s="6">
        <f>Consumo_Medido!D47-Consumo_Faturado!D47</f>
        <v>0</v>
      </c>
      <c r="F47" s="6">
        <f>Consumo_Medido!E47-Consumo_Faturado!E47</f>
        <v>0</v>
      </c>
      <c r="G47" s="6">
        <f>Consumo_Medido!F47-Consumo_Faturado!F47</f>
        <v>0</v>
      </c>
      <c r="H47" s="6">
        <f>Consumo_Medido!G47-Consumo_Faturado!G47</f>
        <v>-100</v>
      </c>
      <c r="I47" s="6">
        <f>Consumo_Medido!H47-Consumo_Faturado!H47</f>
        <v>0</v>
      </c>
      <c r="J47" s="6">
        <f>Consumo_Medido!I47-Consumo_Faturado!I47</f>
        <v>0</v>
      </c>
      <c r="K47" s="6">
        <f>Consumo_Medido!J47-Consumo_Faturado!J47</f>
        <v>0</v>
      </c>
      <c r="L47" s="6">
        <f>Consumo_Medido!K47-Consumo_Faturado!K47</f>
        <v>0</v>
      </c>
      <c r="M47" s="6">
        <f>Consumo_Medido!L47-Consumo_Faturado!L47</f>
        <v>0</v>
      </c>
      <c r="N47" s="6">
        <f>Consumo_Medido!M47-Consumo_Faturado!M47</f>
        <v>0</v>
      </c>
      <c r="O47" s="6">
        <f>Consumo_Medido!N47-Consumo_Faturado!N47</f>
        <v>0</v>
      </c>
    </row>
    <row r="48" spans="1:15" hidden="1" x14ac:dyDescent="0.3">
      <c r="A48" s="1" t="s">
        <v>61</v>
      </c>
      <c r="B48" s="1" t="s">
        <v>14</v>
      </c>
      <c r="C48" s="1"/>
      <c r="D48" s="6">
        <f>Consumo_Medido!C48-Consumo_Faturado!C48</f>
        <v>0</v>
      </c>
      <c r="E48" s="6">
        <f>Consumo_Medido!D48-Consumo_Faturado!D48</f>
        <v>-9</v>
      </c>
      <c r="F48" s="6">
        <f>Consumo_Medido!E48-Consumo_Faturado!E48</f>
        <v>-9</v>
      </c>
      <c r="G48" s="6">
        <f>Consumo_Medido!F48-Consumo_Faturado!F48</f>
        <v>-9</v>
      </c>
      <c r="H48" s="6">
        <f>Consumo_Medido!G48-Consumo_Faturado!G48</f>
        <v>-9</v>
      </c>
      <c r="I48" s="6">
        <f>Consumo_Medido!H48-Consumo_Faturado!H48</f>
        <v>-9</v>
      </c>
      <c r="J48" s="6">
        <f>Consumo_Medido!I48-Consumo_Faturado!I48</f>
        <v>-9</v>
      </c>
      <c r="K48" s="6">
        <f>Consumo_Medido!J48-Consumo_Faturado!J48</f>
        <v>-9</v>
      </c>
      <c r="L48" s="6">
        <f>Consumo_Medido!K48-Consumo_Faturado!K48</f>
        <v>-9</v>
      </c>
      <c r="M48" s="6">
        <f>Consumo_Medido!L48-Consumo_Faturado!L48</f>
        <v>-9</v>
      </c>
      <c r="N48" s="6">
        <f>Consumo_Medido!M48-Consumo_Faturado!M48</f>
        <v>-9</v>
      </c>
      <c r="O48" s="6">
        <f>Consumo_Medido!N48-Consumo_Faturado!N48</f>
        <v>-9</v>
      </c>
    </row>
    <row r="49" spans="1:15" hidden="1" x14ac:dyDescent="0.3">
      <c r="A49" s="1" t="s">
        <v>62</v>
      </c>
      <c r="B49" s="1" t="s">
        <v>14</v>
      </c>
      <c r="C49" s="1"/>
      <c r="D49" s="6">
        <f>Consumo_Medido!C49-Consumo_Faturado!C49</f>
        <v>0</v>
      </c>
      <c r="E49" s="6">
        <f>Consumo_Medido!D49-Consumo_Faturado!D49</f>
        <v>0</v>
      </c>
      <c r="F49" s="6">
        <f>Consumo_Medido!E49-Consumo_Faturado!E49</f>
        <v>0</v>
      </c>
      <c r="G49" s="6">
        <f>Consumo_Medido!F49-Consumo_Faturado!F49</f>
        <v>0</v>
      </c>
      <c r="H49" s="6">
        <f>Consumo_Medido!G49-Consumo_Faturado!G49</f>
        <v>0</v>
      </c>
      <c r="I49" s="6">
        <f>Consumo_Medido!H49-Consumo_Faturado!H49</f>
        <v>0</v>
      </c>
      <c r="J49" s="6">
        <f>Consumo_Medido!I49-Consumo_Faturado!I49</f>
        <v>0</v>
      </c>
      <c r="K49" s="6">
        <f>Consumo_Medido!J49-Consumo_Faturado!J49</f>
        <v>0</v>
      </c>
      <c r="L49" s="6">
        <f>Consumo_Medido!K49-Consumo_Faturado!K49</f>
        <v>0</v>
      </c>
      <c r="M49" s="6">
        <f>Consumo_Medido!L49-Consumo_Faturado!L49</f>
        <v>0</v>
      </c>
      <c r="N49" s="6">
        <f>Consumo_Medido!M49-Consumo_Faturado!M49</f>
        <v>0</v>
      </c>
      <c r="O49" s="6">
        <f>Consumo_Medido!N49-Consumo_Faturado!N49</f>
        <v>0</v>
      </c>
    </row>
    <row r="50" spans="1:15" hidden="1" x14ac:dyDescent="0.3">
      <c r="A50" s="1" t="s">
        <v>63</v>
      </c>
      <c r="B50" s="1" t="s">
        <v>14</v>
      </c>
      <c r="C50" s="1"/>
      <c r="D50" s="6">
        <f>Consumo_Medido!C50-Consumo_Faturado!C50</f>
        <v>0</v>
      </c>
      <c r="E50" s="6">
        <f>Consumo_Medido!D50-Consumo_Faturado!D50</f>
        <v>0</v>
      </c>
      <c r="F50" s="6">
        <f>Consumo_Medido!E50-Consumo_Faturado!E50</f>
        <v>0</v>
      </c>
      <c r="G50" s="6">
        <f>Consumo_Medido!F50-Consumo_Faturado!F50</f>
        <v>0</v>
      </c>
      <c r="H50" s="6">
        <f>Consumo_Medido!G50-Consumo_Faturado!G50</f>
        <v>0</v>
      </c>
      <c r="I50" s="6">
        <f>Consumo_Medido!H50-Consumo_Faturado!H50</f>
        <v>0</v>
      </c>
      <c r="J50" s="6">
        <f>Consumo_Medido!I50-Consumo_Faturado!I50</f>
        <v>0</v>
      </c>
      <c r="K50" s="6">
        <f>Consumo_Medido!J50-Consumo_Faturado!J50</f>
        <v>0</v>
      </c>
      <c r="L50" s="6">
        <f>Consumo_Medido!K50-Consumo_Faturado!K50</f>
        <v>0</v>
      </c>
      <c r="M50" s="6">
        <f>Consumo_Medido!L50-Consumo_Faturado!L50</f>
        <v>0</v>
      </c>
      <c r="N50" s="6">
        <f>Consumo_Medido!M50-Consumo_Faturado!M50</f>
        <v>0</v>
      </c>
      <c r="O50" s="6">
        <f>Consumo_Medido!N50-Consumo_Faturado!N50</f>
        <v>0</v>
      </c>
    </row>
    <row r="51" spans="1:15" hidden="1" x14ac:dyDescent="0.3">
      <c r="A51" s="1" t="s">
        <v>64</v>
      </c>
      <c r="B51" s="1" t="s">
        <v>14</v>
      </c>
      <c r="C51" s="1"/>
      <c r="D51" s="6">
        <f>Consumo_Medido!C51-Consumo_Faturado!C51</f>
        <v>0</v>
      </c>
      <c r="E51" s="6">
        <f>Consumo_Medido!D51-Consumo_Faturado!D51</f>
        <v>-102</v>
      </c>
      <c r="F51" s="6">
        <f>Consumo_Medido!E51-Consumo_Faturado!E51</f>
        <v>-147</v>
      </c>
      <c r="G51" s="6">
        <f>Consumo_Medido!F51-Consumo_Faturado!F51</f>
        <v>-142</v>
      </c>
      <c r="H51" s="6">
        <f>Consumo_Medido!G51-Consumo_Faturado!G51</f>
        <v>-157</v>
      </c>
      <c r="I51" s="6">
        <f>Consumo_Medido!H51-Consumo_Faturado!H51</f>
        <v>-162</v>
      </c>
      <c r="J51" s="6">
        <f>Consumo_Medido!I51-Consumo_Faturado!I51</f>
        <v>-135</v>
      </c>
      <c r="K51" s="6">
        <f>Consumo_Medido!J51-Consumo_Faturado!J51</f>
        <v>-117</v>
      </c>
      <c r="L51" s="6">
        <f>Consumo_Medido!K51-Consumo_Faturado!K51</f>
        <v>-126</v>
      </c>
      <c r="M51" s="6">
        <f>Consumo_Medido!L51-Consumo_Faturado!L51</f>
        <v>-125</v>
      </c>
      <c r="N51" s="6">
        <f>Consumo_Medido!M51-Consumo_Faturado!M51</f>
        <v>-162</v>
      </c>
      <c r="O51" s="6">
        <f>Consumo_Medido!N51-Consumo_Faturado!N51</f>
        <v>-189</v>
      </c>
    </row>
    <row r="52" spans="1:15" hidden="1" x14ac:dyDescent="0.3">
      <c r="A52" s="1" t="s">
        <v>65</v>
      </c>
      <c r="B52" s="3" t="s">
        <v>16</v>
      </c>
      <c r="C52" s="7" t="str">
        <f t="shared" ref="C52:C53" si="3">IF(COUNTIF(D52:O52,"&lt;&gt;0")&gt;0,"Reclamar","Só zeros")</f>
        <v>Reclamar</v>
      </c>
      <c r="D52" s="6">
        <f>Consumo_Medido!C52-Consumo_Faturado!C52</f>
        <v>0</v>
      </c>
      <c r="E52" s="6">
        <f>Consumo_Medido!D52-Consumo_Faturado!D52</f>
        <v>-30</v>
      </c>
      <c r="F52" s="6">
        <f>Consumo_Medido!E52-Consumo_Faturado!E52</f>
        <v>-29</v>
      </c>
      <c r="G52" s="6">
        <f>Consumo_Medido!F52-Consumo_Faturado!F52</f>
        <v>-28</v>
      </c>
      <c r="H52" s="6">
        <f>Consumo_Medido!G52-Consumo_Faturado!G52</f>
        <v>-29</v>
      </c>
      <c r="I52" s="6">
        <f>Consumo_Medido!H52-Consumo_Faturado!H52</f>
        <v>-29</v>
      </c>
      <c r="J52" s="6">
        <f>Consumo_Medido!I52-Consumo_Faturado!I52</f>
        <v>-28</v>
      </c>
      <c r="K52" s="6">
        <f>Consumo_Medido!J52-Consumo_Faturado!J52</f>
        <v>-27</v>
      </c>
      <c r="L52" s="6">
        <f>Consumo_Medido!K52-Consumo_Faturado!K52</f>
        <v>-28</v>
      </c>
      <c r="M52" s="6">
        <f>Consumo_Medido!L52-Consumo_Faturado!L52</f>
        <v>-29</v>
      </c>
      <c r="N52" s="6">
        <f>Consumo_Medido!M52-Consumo_Faturado!M52</f>
        <v>-28</v>
      </c>
      <c r="O52" s="6">
        <f>Consumo_Medido!N52-Consumo_Faturado!N52</f>
        <v>-28</v>
      </c>
    </row>
    <row r="53" spans="1:15" hidden="1" x14ac:dyDescent="0.3">
      <c r="A53" s="1" t="s">
        <v>66</v>
      </c>
      <c r="B53" s="3" t="s">
        <v>16</v>
      </c>
      <c r="C53" s="7" t="str">
        <f t="shared" si="3"/>
        <v>Reclamar</v>
      </c>
      <c r="D53" s="6">
        <f>Consumo_Medido!C53-Consumo_Faturado!C53</f>
        <v>0</v>
      </c>
      <c r="E53" s="6">
        <f>Consumo_Medido!D53-Consumo_Faturado!D53</f>
        <v>-30</v>
      </c>
      <c r="F53" s="6">
        <f>Consumo_Medido!E53-Consumo_Faturado!E53</f>
        <v>-30</v>
      </c>
      <c r="G53" s="6">
        <f>Consumo_Medido!F53-Consumo_Faturado!F53</f>
        <v>-30</v>
      </c>
      <c r="H53" s="6">
        <f>Consumo_Medido!G53-Consumo_Faturado!G53</f>
        <v>-30</v>
      </c>
      <c r="I53" s="6">
        <f>Consumo_Medido!H53-Consumo_Faturado!H53</f>
        <v>-30</v>
      </c>
      <c r="J53" s="6">
        <f>Consumo_Medido!I53-Consumo_Faturado!I53</f>
        <v>-30</v>
      </c>
      <c r="K53" s="6">
        <f>Consumo_Medido!J53-Consumo_Faturado!J53</f>
        <v>-30</v>
      </c>
      <c r="L53" s="6">
        <f>Consumo_Medido!K53-Consumo_Faturado!K53</f>
        <v>-30</v>
      </c>
      <c r="M53" s="6">
        <f>Consumo_Medido!L53-Consumo_Faturado!L53</f>
        <v>-30</v>
      </c>
      <c r="N53" s="6">
        <f>Consumo_Medido!M53-Consumo_Faturado!M53</f>
        <v>-30</v>
      </c>
      <c r="O53" s="6">
        <f>Consumo_Medido!N53-Consumo_Faturado!N53</f>
        <v>-30</v>
      </c>
    </row>
    <row r="54" spans="1:15" hidden="1" x14ac:dyDescent="0.3">
      <c r="A54" s="1" t="s">
        <v>67</v>
      </c>
      <c r="B54" s="1" t="s">
        <v>14</v>
      </c>
      <c r="C54" s="1"/>
      <c r="D54" s="6">
        <f>Consumo_Medido!C54-Consumo_Faturado!C54</f>
        <v>0</v>
      </c>
      <c r="E54" s="6">
        <f>Consumo_Medido!D54-Consumo_Faturado!D54</f>
        <v>0</v>
      </c>
      <c r="F54" s="6">
        <f>Consumo_Medido!E54-Consumo_Faturado!E54</f>
        <v>0</v>
      </c>
      <c r="G54" s="6">
        <f>Consumo_Medido!F54-Consumo_Faturado!F54</f>
        <v>0</v>
      </c>
      <c r="H54" s="6">
        <f>Consumo_Medido!G54-Consumo_Faturado!G54</f>
        <v>-92</v>
      </c>
      <c r="I54" s="6">
        <f>Consumo_Medido!H54-Consumo_Faturado!H54</f>
        <v>0</v>
      </c>
      <c r="J54" s="6">
        <f>Consumo_Medido!I54-Consumo_Faturado!I54</f>
        <v>0</v>
      </c>
      <c r="K54" s="6">
        <f>Consumo_Medido!J54-Consumo_Faturado!J54</f>
        <v>0</v>
      </c>
      <c r="L54" s="6">
        <f>Consumo_Medido!K54-Consumo_Faturado!K54</f>
        <v>0</v>
      </c>
      <c r="M54" s="6">
        <f>Consumo_Medido!L54-Consumo_Faturado!L54</f>
        <v>0</v>
      </c>
      <c r="N54" s="6">
        <f>Consumo_Medido!M54-Consumo_Faturado!M54</f>
        <v>0</v>
      </c>
      <c r="O54" s="6">
        <f>Consumo_Medido!N54-Consumo_Faturado!N54</f>
        <v>0</v>
      </c>
    </row>
    <row r="55" spans="1:15" hidden="1" x14ac:dyDescent="0.3">
      <c r="A55" s="1" t="s">
        <v>68</v>
      </c>
      <c r="B55" s="1" t="s">
        <v>14</v>
      </c>
      <c r="C55" s="1"/>
      <c r="D55" s="6">
        <f>Consumo_Medido!C55-Consumo_Faturado!C55</f>
        <v>0</v>
      </c>
      <c r="E55" s="6">
        <f>Consumo_Medido!D55-Consumo_Faturado!D55</f>
        <v>0</v>
      </c>
      <c r="F55" s="6">
        <f>Consumo_Medido!E55-Consumo_Faturado!E55</f>
        <v>0</v>
      </c>
      <c r="G55" s="6">
        <f>Consumo_Medido!F55-Consumo_Faturado!F55</f>
        <v>0</v>
      </c>
      <c r="H55" s="6">
        <f>Consumo_Medido!G55-Consumo_Faturado!G55</f>
        <v>0</v>
      </c>
      <c r="I55" s="6">
        <f>Consumo_Medido!H55-Consumo_Faturado!H55</f>
        <v>0</v>
      </c>
      <c r="J55" s="6">
        <f>Consumo_Medido!I55-Consumo_Faturado!I55</f>
        <v>0</v>
      </c>
      <c r="K55" s="6">
        <f>Consumo_Medido!J55-Consumo_Faturado!J55</f>
        <v>0</v>
      </c>
      <c r="L55" s="6">
        <f>Consumo_Medido!K55-Consumo_Faturado!K55</f>
        <v>0</v>
      </c>
      <c r="M55" s="6">
        <f>Consumo_Medido!L55-Consumo_Faturado!L55</f>
        <v>0</v>
      </c>
      <c r="N55" s="6">
        <f>Consumo_Medido!M55-Consumo_Faturado!M55</f>
        <v>0</v>
      </c>
      <c r="O55" s="6">
        <f>Consumo_Medido!N55-Consumo_Faturado!N55</f>
        <v>0</v>
      </c>
    </row>
    <row r="56" spans="1:15" hidden="1" x14ac:dyDescent="0.3">
      <c r="A56" s="1" t="s">
        <v>69</v>
      </c>
      <c r="B56" s="1" t="s">
        <v>14</v>
      </c>
      <c r="C56" s="1"/>
      <c r="D56" s="6">
        <f>Consumo_Medido!C56-Consumo_Faturado!C56</f>
        <v>0</v>
      </c>
      <c r="E56" s="6">
        <f>Consumo_Medido!D56-Consumo_Faturado!D56</f>
        <v>0</v>
      </c>
      <c r="F56" s="6">
        <f>Consumo_Medido!E56-Consumo_Faturado!E56</f>
        <v>0</v>
      </c>
      <c r="G56" s="6">
        <f>Consumo_Medido!F56-Consumo_Faturado!F56</f>
        <v>-19</v>
      </c>
      <c r="H56" s="6">
        <f>Consumo_Medido!G56-Consumo_Faturado!G56</f>
        <v>0</v>
      </c>
      <c r="I56" s="6">
        <f>Consumo_Medido!H56-Consumo_Faturado!H56</f>
        <v>0</v>
      </c>
      <c r="J56" s="6">
        <f>Consumo_Medido!I56-Consumo_Faturado!I56</f>
        <v>0</v>
      </c>
      <c r="K56" s="6">
        <f>Consumo_Medido!J56-Consumo_Faturado!J56</f>
        <v>0</v>
      </c>
      <c r="L56" s="6">
        <f>Consumo_Medido!K56-Consumo_Faturado!K56</f>
        <v>0</v>
      </c>
      <c r="M56" s="6">
        <f>Consumo_Medido!L56-Consumo_Faturado!L56</f>
        <v>0</v>
      </c>
      <c r="N56" s="6">
        <f>Consumo_Medido!M56-Consumo_Faturado!M56</f>
        <v>0</v>
      </c>
      <c r="O56" s="6">
        <f>Consumo_Medido!N56-Consumo_Faturado!N56</f>
        <v>0</v>
      </c>
    </row>
    <row r="57" spans="1:15" hidden="1" x14ac:dyDescent="0.3">
      <c r="A57" s="1" t="s">
        <v>70</v>
      </c>
      <c r="B57" s="1" t="s">
        <v>14</v>
      </c>
      <c r="C57" s="1"/>
      <c r="D57" s="6">
        <f>Consumo_Medido!C57-Consumo_Faturado!C57</f>
        <v>0</v>
      </c>
      <c r="E57" s="6">
        <f>Consumo_Medido!D57-Consumo_Faturado!D57</f>
        <v>0</v>
      </c>
      <c r="F57" s="6">
        <f>Consumo_Medido!E57-Consumo_Faturado!E57</f>
        <v>0</v>
      </c>
      <c r="G57" s="6">
        <f>Consumo_Medido!F57-Consumo_Faturado!F57</f>
        <v>0</v>
      </c>
      <c r="H57" s="6">
        <f>Consumo_Medido!G57-Consumo_Faturado!G57</f>
        <v>0</v>
      </c>
      <c r="I57" s="6">
        <f>Consumo_Medido!H57-Consumo_Faturado!H57</f>
        <v>0</v>
      </c>
      <c r="J57" s="6">
        <f>Consumo_Medido!I57-Consumo_Faturado!I57</f>
        <v>0</v>
      </c>
      <c r="K57" s="6">
        <f>Consumo_Medido!J57-Consumo_Faturado!J57</f>
        <v>0</v>
      </c>
      <c r="L57" s="6">
        <f>Consumo_Medido!K57-Consumo_Faturado!K57</f>
        <v>0</v>
      </c>
      <c r="M57" s="6">
        <f>Consumo_Medido!L57-Consumo_Faturado!L57</f>
        <v>0</v>
      </c>
      <c r="N57" s="6">
        <f>Consumo_Medido!M57-Consumo_Faturado!M57</f>
        <v>0</v>
      </c>
      <c r="O57" s="6">
        <f>Consumo_Medido!N57-Consumo_Faturado!N57</f>
        <v>0</v>
      </c>
    </row>
    <row r="58" spans="1:15" hidden="1" x14ac:dyDescent="0.3">
      <c r="A58" s="1" t="s">
        <v>71</v>
      </c>
      <c r="B58" s="1" t="s">
        <v>14</v>
      </c>
      <c r="C58" s="1"/>
      <c r="D58" s="6">
        <f>Consumo_Medido!C58-Consumo_Faturado!C58</f>
        <v>0</v>
      </c>
      <c r="E58" s="6">
        <f>Consumo_Medido!D58-Consumo_Faturado!D58</f>
        <v>0</v>
      </c>
      <c r="F58" s="6">
        <f>Consumo_Medido!E58-Consumo_Faturado!E58</f>
        <v>0</v>
      </c>
      <c r="G58" s="6">
        <f>Consumo_Medido!F58-Consumo_Faturado!F58</f>
        <v>0</v>
      </c>
      <c r="H58" s="6">
        <f>Consumo_Medido!G58-Consumo_Faturado!G58</f>
        <v>0</v>
      </c>
      <c r="I58" s="6">
        <f>Consumo_Medido!H58-Consumo_Faturado!H58</f>
        <v>0</v>
      </c>
      <c r="J58" s="6">
        <f>Consumo_Medido!I58-Consumo_Faturado!I58</f>
        <v>0</v>
      </c>
      <c r="K58" s="6">
        <f>Consumo_Medido!J58-Consumo_Faturado!J58</f>
        <v>0</v>
      </c>
      <c r="L58" s="6">
        <f>Consumo_Medido!K58-Consumo_Faturado!K58</f>
        <v>0</v>
      </c>
      <c r="M58" s="6">
        <f>Consumo_Medido!L58-Consumo_Faturado!L58</f>
        <v>0</v>
      </c>
      <c r="N58" s="6">
        <f>Consumo_Medido!M58-Consumo_Faturado!M58</f>
        <v>0</v>
      </c>
      <c r="O58" s="6">
        <f>Consumo_Medido!N58-Consumo_Faturado!N58</f>
        <v>0</v>
      </c>
    </row>
    <row r="59" spans="1:15" hidden="1" x14ac:dyDescent="0.3">
      <c r="A59" s="1" t="s">
        <v>72</v>
      </c>
      <c r="B59" s="1" t="s">
        <v>14</v>
      </c>
      <c r="C59" s="1"/>
      <c r="D59" s="6">
        <f>Consumo_Medido!C59-Consumo_Faturado!C59</f>
        <v>0</v>
      </c>
      <c r="E59" s="6">
        <f>Consumo_Medido!D59-Consumo_Faturado!D59</f>
        <v>0</v>
      </c>
      <c r="F59" s="6">
        <f>Consumo_Medido!E59-Consumo_Faturado!E59</f>
        <v>0</v>
      </c>
      <c r="G59" s="6">
        <f>Consumo_Medido!F59-Consumo_Faturado!F59</f>
        <v>0</v>
      </c>
      <c r="H59" s="6">
        <f>Consumo_Medido!G59-Consumo_Faturado!G59</f>
        <v>0</v>
      </c>
      <c r="I59" s="6">
        <f>Consumo_Medido!H59-Consumo_Faturado!H59</f>
        <v>0</v>
      </c>
      <c r="J59" s="6">
        <f>Consumo_Medido!I59-Consumo_Faturado!I59</f>
        <v>0</v>
      </c>
      <c r="K59" s="6">
        <f>Consumo_Medido!J59-Consumo_Faturado!J59</f>
        <v>0</v>
      </c>
      <c r="L59" s="6">
        <f>Consumo_Medido!K59-Consumo_Faturado!K59</f>
        <v>0</v>
      </c>
      <c r="M59" s="6">
        <f>Consumo_Medido!L59-Consumo_Faturado!L59</f>
        <v>0</v>
      </c>
      <c r="N59" s="6">
        <f>Consumo_Medido!M59-Consumo_Faturado!M59</f>
        <v>0</v>
      </c>
      <c r="O59" s="6">
        <f>Consumo_Medido!N59-Consumo_Faturado!N59</f>
        <v>0</v>
      </c>
    </row>
    <row r="60" spans="1:15" hidden="1" x14ac:dyDescent="0.3">
      <c r="A60" s="1" t="s">
        <v>73</v>
      </c>
      <c r="B60" s="1" t="s">
        <v>14</v>
      </c>
      <c r="C60" s="1"/>
      <c r="D60" s="6">
        <f>Consumo_Medido!C60-Consumo_Faturado!C60</f>
        <v>0</v>
      </c>
      <c r="E60" s="6">
        <f>Consumo_Medido!D60-Consumo_Faturado!D60</f>
        <v>0</v>
      </c>
      <c r="F60" s="6">
        <f>Consumo_Medido!E60-Consumo_Faturado!E60</f>
        <v>0</v>
      </c>
      <c r="G60" s="6">
        <f>Consumo_Medido!F60-Consumo_Faturado!F60</f>
        <v>0</v>
      </c>
      <c r="H60" s="6">
        <f>Consumo_Medido!G60-Consumo_Faturado!G60</f>
        <v>0</v>
      </c>
      <c r="I60" s="6">
        <f>Consumo_Medido!H60-Consumo_Faturado!H60</f>
        <v>0</v>
      </c>
      <c r="J60" s="6">
        <f>Consumo_Medido!I60-Consumo_Faturado!I60</f>
        <v>0</v>
      </c>
      <c r="K60" s="6">
        <f>Consumo_Medido!J60-Consumo_Faturado!J60</f>
        <v>0</v>
      </c>
      <c r="L60" s="6">
        <f>Consumo_Medido!K60-Consumo_Faturado!K60</f>
        <v>0</v>
      </c>
      <c r="M60" s="6">
        <f>Consumo_Medido!L60-Consumo_Faturado!L60</f>
        <v>0</v>
      </c>
      <c r="N60" s="6">
        <f>Consumo_Medido!M60-Consumo_Faturado!M60</f>
        <v>0</v>
      </c>
      <c r="O60" s="6">
        <f>Consumo_Medido!N60-Consumo_Faturado!N60</f>
        <v>0</v>
      </c>
    </row>
    <row r="61" spans="1:15" hidden="1" x14ac:dyDescent="0.3">
      <c r="A61" s="1" t="s">
        <v>74</v>
      </c>
      <c r="B61" s="1" t="s">
        <v>75</v>
      </c>
      <c r="C61" s="1"/>
      <c r="D61" s="6">
        <f>Consumo_Medido!C61-Consumo_Faturado!C61</f>
        <v>0</v>
      </c>
      <c r="E61" s="6">
        <f>Consumo_Medido!D61-Consumo_Faturado!D61</f>
        <v>-30</v>
      </c>
      <c r="F61" s="6">
        <f>Consumo_Medido!E61-Consumo_Faturado!E61</f>
        <v>-30</v>
      </c>
      <c r="G61" s="6">
        <f>Consumo_Medido!F61-Consumo_Faturado!F61</f>
        <v>-30</v>
      </c>
      <c r="H61" s="6">
        <f>Consumo_Medido!G61-Consumo_Faturado!G61</f>
        <v>-30</v>
      </c>
      <c r="I61" s="6">
        <f>Consumo_Medido!H61-Consumo_Faturado!H61</f>
        <v>-30</v>
      </c>
      <c r="J61" s="6">
        <f>Consumo_Medido!I61-Consumo_Faturado!I61</f>
        <v>-30</v>
      </c>
      <c r="K61" s="6">
        <f>Consumo_Medido!J61-Consumo_Faturado!J61</f>
        <v>-21</v>
      </c>
      <c r="L61" s="6">
        <f>Consumo_Medido!K61-Consumo_Faturado!K61</f>
        <v>-27</v>
      </c>
      <c r="M61" s="6">
        <f>Consumo_Medido!L61-Consumo_Faturado!L61</f>
        <v>-26</v>
      </c>
      <c r="N61" s="6">
        <f>Consumo_Medido!M61-Consumo_Faturado!M61</f>
        <v>-28</v>
      </c>
      <c r="O61" s="6">
        <f>Consumo_Medido!N61-Consumo_Faturado!N61</f>
        <v>-27</v>
      </c>
    </row>
    <row r="62" spans="1:15" hidden="1" x14ac:dyDescent="0.3">
      <c r="A62" s="1" t="s">
        <v>76</v>
      </c>
      <c r="B62" s="1" t="s">
        <v>14</v>
      </c>
      <c r="C62" s="1"/>
      <c r="D62" s="6">
        <f>Consumo_Medido!C62-Consumo_Faturado!C62</f>
        <v>0</v>
      </c>
      <c r="E62" s="6">
        <f>Consumo_Medido!D62-Consumo_Faturado!D62</f>
        <v>0</v>
      </c>
      <c r="F62" s="6">
        <f>Consumo_Medido!E62-Consumo_Faturado!E62</f>
        <v>-25</v>
      </c>
      <c r="G62" s="6">
        <f>Consumo_Medido!F62-Consumo_Faturado!F62</f>
        <v>0</v>
      </c>
      <c r="H62" s="6">
        <f>Consumo_Medido!G62-Consumo_Faturado!G62</f>
        <v>0</v>
      </c>
      <c r="I62" s="6">
        <f>Consumo_Medido!H62-Consumo_Faturado!H62</f>
        <v>0</v>
      </c>
      <c r="J62" s="6">
        <f>Consumo_Medido!I62-Consumo_Faturado!I62</f>
        <v>0</v>
      </c>
      <c r="K62" s="6">
        <f>Consumo_Medido!J62-Consumo_Faturado!J62</f>
        <v>0</v>
      </c>
      <c r="L62" s="6">
        <f>Consumo_Medido!K62-Consumo_Faturado!K62</f>
        <v>0</v>
      </c>
      <c r="M62" s="6">
        <f>Consumo_Medido!L62-Consumo_Faturado!L62</f>
        <v>0</v>
      </c>
      <c r="N62" s="6">
        <f>Consumo_Medido!M62-Consumo_Faturado!M62</f>
        <v>0</v>
      </c>
      <c r="O62" s="6">
        <f>Consumo_Medido!N62-Consumo_Faturado!N62</f>
        <v>0</v>
      </c>
    </row>
    <row r="63" spans="1:15" hidden="1" x14ac:dyDescent="0.3">
      <c r="A63" s="1" t="s">
        <v>77</v>
      </c>
      <c r="B63" s="1" t="s">
        <v>75</v>
      </c>
      <c r="C63" s="1"/>
      <c r="D63" s="6">
        <f>Consumo_Medido!C63-Consumo_Faturado!C63</f>
        <v>0</v>
      </c>
      <c r="E63" s="6">
        <f>Consumo_Medido!D63-Consumo_Faturado!D63</f>
        <v>0</v>
      </c>
      <c r="F63" s="6">
        <f>Consumo_Medido!E63-Consumo_Faturado!E63</f>
        <v>0</v>
      </c>
      <c r="G63" s="6">
        <f>Consumo_Medido!F63-Consumo_Faturado!F63</f>
        <v>0</v>
      </c>
      <c r="H63" s="6">
        <f>Consumo_Medido!G63-Consumo_Faturado!G63</f>
        <v>0</v>
      </c>
      <c r="I63" s="6">
        <f>Consumo_Medido!H63-Consumo_Faturado!H63</f>
        <v>0</v>
      </c>
      <c r="J63" s="6">
        <f>Consumo_Medido!I63-Consumo_Faturado!I63</f>
        <v>0</v>
      </c>
      <c r="K63" s="6">
        <f>Consumo_Medido!J63-Consumo_Faturado!J63</f>
        <v>0</v>
      </c>
      <c r="L63" s="6">
        <f>Consumo_Medido!K63-Consumo_Faturado!K63</f>
        <v>0</v>
      </c>
      <c r="M63" s="6">
        <f>Consumo_Medido!L63-Consumo_Faturado!L63</f>
        <v>0</v>
      </c>
      <c r="N63" s="6">
        <f>Consumo_Medido!M63-Consumo_Faturado!M63</f>
        <v>0</v>
      </c>
      <c r="O63" s="6">
        <f>Consumo_Medido!N63-Consumo_Faturado!N63</f>
        <v>0</v>
      </c>
    </row>
    <row r="64" spans="1:15" hidden="1" x14ac:dyDescent="0.3">
      <c r="A64" s="1" t="s">
        <v>78</v>
      </c>
      <c r="B64" s="1" t="s">
        <v>14</v>
      </c>
      <c r="C64" s="1"/>
      <c r="D64" s="6">
        <f>Consumo_Medido!C64-Consumo_Faturado!C64</f>
        <v>0</v>
      </c>
      <c r="E64" s="6">
        <f>Consumo_Medido!D64-Consumo_Faturado!D64</f>
        <v>0</v>
      </c>
      <c r="F64" s="6">
        <f>Consumo_Medido!E64-Consumo_Faturado!E64</f>
        <v>0</v>
      </c>
      <c r="G64" s="6">
        <f>Consumo_Medido!F64-Consumo_Faturado!F64</f>
        <v>0</v>
      </c>
      <c r="H64" s="6">
        <f>Consumo_Medido!G64-Consumo_Faturado!G64</f>
        <v>0</v>
      </c>
      <c r="I64" s="6">
        <f>Consumo_Medido!H64-Consumo_Faturado!H64</f>
        <v>0</v>
      </c>
      <c r="J64" s="6">
        <f>Consumo_Medido!I64-Consumo_Faturado!I64</f>
        <v>0</v>
      </c>
      <c r="K64" s="6">
        <f>Consumo_Medido!J64-Consumo_Faturado!J64</f>
        <v>0</v>
      </c>
      <c r="L64" s="6">
        <f>Consumo_Medido!K64-Consumo_Faturado!K64</f>
        <v>0</v>
      </c>
      <c r="M64" s="6">
        <f>Consumo_Medido!L64-Consumo_Faturado!L64</f>
        <v>0</v>
      </c>
      <c r="N64" s="6">
        <f>Consumo_Medido!M64-Consumo_Faturado!M64</f>
        <v>0</v>
      </c>
      <c r="O64" s="6">
        <f>Consumo_Medido!N64-Consumo_Faturado!N64</f>
        <v>0</v>
      </c>
    </row>
    <row r="65" spans="1:15" hidden="1" x14ac:dyDescent="0.3">
      <c r="A65" s="1" t="s">
        <v>79</v>
      </c>
      <c r="B65" s="1" t="s">
        <v>14</v>
      </c>
      <c r="C65" s="1"/>
      <c r="D65" s="6">
        <f>Consumo_Medido!C65-Consumo_Faturado!C65</f>
        <v>0</v>
      </c>
      <c r="E65" s="6">
        <f>Consumo_Medido!D65-Consumo_Faturado!D65</f>
        <v>0</v>
      </c>
      <c r="F65" s="6">
        <f>Consumo_Medido!E65-Consumo_Faturado!E65</f>
        <v>0</v>
      </c>
      <c r="G65" s="6">
        <f>Consumo_Medido!F65-Consumo_Faturado!F65</f>
        <v>0</v>
      </c>
      <c r="H65" s="6">
        <f>Consumo_Medido!G65-Consumo_Faturado!G65</f>
        <v>0</v>
      </c>
      <c r="I65" s="6">
        <f>Consumo_Medido!H65-Consumo_Faturado!H65</f>
        <v>0</v>
      </c>
      <c r="J65" s="6">
        <f>Consumo_Medido!I65-Consumo_Faturado!I65</f>
        <v>0</v>
      </c>
      <c r="K65" s="6">
        <f>Consumo_Medido!J65-Consumo_Faturado!J65</f>
        <v>0</v>
      </c>
      <c r="L65" s="6">
        <f>Consumo_Medido!K65-Consumo_Faturado!K65</f>
        <v>0</v>
      </c>
      <c r="M65" s="6">
        <f>Consumo_Medido!L65-Consumo_Faturado!L65</f>
        <v>0</v>
      </c>
      <c r="N65" s="6">
        <f>Consumo_Medido!M65-Consumo_Faturado!M65</f>
        <v>0</v>
      </c>
      <c r="O65" s="6">
        <f>Consumo_Medido!N65-Consumo_Faturado!N65</f>
        <v>0</v>
      </c>
    </row>
    <row r="66" spans="1:15" hidden="1" x14ac:dyDescent="0.3">
      <c r="A66" s="1" t="s">
        <v>80</v>
      </c>
      <c r="B66" s="3" t="s">
        <v>16</v>
      </c>
      <c r="C66" s="7" t="str">
        <f>IF(COUNTIF(D66:O66,"&lt;&gt;0")&gt;0,"Reclamar","Só zeros")</f>
        <v>Só zeros</v>
      </c>
      <c r="D66" s="6">
        <f>Consumo_Medido!C66-Consumo_Faturado!C66</f>
        <v>0</v>
      </c>
      <c r="E66" s="6">
        <f>Consumo_Medido!D66-Consumo_Faturado!D66</f>
        <v>0</v>
      </c>
      <c r="F66" s="6">
        <f>Consumo_Medido!E66-Consumo_Faturado!E66</f>
        <v>0</v>
      </c>
      <c r="G66" s="6">
        <f>Consumo_Medido!F66-Consumo_Faturado!F66</f>
        <v>0</v>
      </c>
      <c r="H66" s="6">
        <f>Consumo_Medido!G66-Consumo_Faturado!G66</f>
        <v>0</v>
      </c>
      <c r="I66" s="6">
        <f>Consumo_Medido!H66-Consumo_Faturado!H66</f>
        <v>0</v>
      </c>
      <c r="J66" s="6">
        <f>Consumo_Medido!I66-Consumo_Faturado!I66</f>
        <v>0</v>
      </c>
      <c r="K66" s="6">
        <f>Consumo_Medido!J66-Consumo_Faturado!J66</f>
        <v>0</v>
      </c>
      <c r="L66" s="6">
        <f>Consumo_Medido!K66-Consumo_Faturado!K66</f>
        <v>0</v>
      </c>
      <c r="M66" s="6">
        <f>Consumo_Medido!L66-Consumo_Faturado!L66</f>
        <v>0</v>
      </c>
      <c r="N66" s="6">
        <f>Consumo_Medido!M66-Consumo_Faturado!M66</f>
        <v>0</v>
      </c>
      <c r="O66" s="6">
        <f>Consumo_Medido!N66-Consumo_Faturado!N66</f>
        <v>0</v>
      </c>
    </row>
    <row r="67" spans="1:15" hidden="1" x14ac:dyDescent="0.3">
      <c r="A67" s="1" t="s">
        <v>81</v>
      </c>
      <c r="B67" s="1" t="s">
        <v>14</v>
      </c>
      <c r="C67" s="1"/>
      <c r="D67" s="6">
        <f>Consumo_Medido!C67-Consumo_Faturado!C67</f>
        <v>0</v>
      </c>
      <c r="E67" s="6">
        <f>Consumo_Medido!D67-Consumo_Faturado!D67</f>
        <v>-29</v>
      </c>
      <c r="F67" s="6">
        <f>Consumo_Medido!E67-Consumo_Faturado!E67</f>
        <v>0</v>
      </c>
      <c r="G67" s="6">
        <f>Consumo_Medido!F67-Consumo_Faturado!F67</f>
        <v>0</v>
      </c>
      <c r="H67" s="6">
        <f>Consumo_Medido!G67-Consumo_Faturado!G67</f>
        <v>0</v>
      </c>
      <c r="I67" s="6">
        <f>Consumo_Medido!H67-Consumo_Faturado!H67</f>
        <v>0</v>
      </c>
      <c r="J67" s="6">
        <f>Consumo_Medido!I67-Consumo_Faturado!I67</f>
        <v>0</v>
      </c>
      <c r="K67" s="6">
        <f>Consumo_Medido!J67-Consumo_Faturado!J67</f>
        <v>0</v>
      </c>
      <c r="L67" s="6">
        <f>Consumo_Medido!K67-Consumo_Faturado!K67</f>
        <v>0</v>
      </c>
      <c r="M67" s="6">
        <f>Consumo_Medido!L67-Consumo_Faturado!L67</f>
        <v>0</v>
      </c>
      <c r="N67" s="6">
        <f>Consumo_Medido!M67-Consumo_Faturado!M67</f>
        <v>0</v>
      </c>
      <c r="O67" s="6">
        <f>Consumo_Medido!N67-Consumo_Faturado!N67</f>
        <v>0</v>
      </c>
    </row>
    <row r="68" spans="1:15" hidden="1" x14ac:dyDescent="0.3">
      <c r="A68" s="1" t="s">
        <v>82</v>
      </c>
      <c r="B68" s="1" t="s">
        <v>14</v>
      </c>
      <c r="C68" s="1"/>
      <c r="D68" s="6">
        <f>Consumo_Medido!C68-Consumo_Faturado!C68</f>
        <v>0</v>
      </c>
      <c r="E68" s="6">
        <f>Consumo_Medido!D68-Consumo_Faturado!D68</f>
        <v>0</v>
      </c>
      <c r="F68" s="6">
        <f>Consumo_Medido!E68-Consumo_Faturado!E68</f>
        <v>-9</v>
      </c>
      <c r="G68" s="6">
        <f>Consumo_Medido!F68-Consumo_Faturado!F68</f>
        <v>0</v>
      </c>
      <c r="H68" s="6">
        <f>Consumo_Medido!G68-Consumo_Faturado!G68</f>
        <v>0</v>
      </c>
      <c r="I68" s="6">
        <f>Consumo_Medido!H68-Consumo_Faturado!H68</f>
        <v>0</v>
      </c>
      <c r="J68" s="6">
        <f>Consumo_Medido!I68-Consumo_Faturado!I68</f>
        <v>0</v>
      </c>
      <c r="K68" s="6">
        <f>Consumo_Medido!J68-Consumo_Faturado!J68</f>
        <v>0</v>
      </c>
      <c r="L68" s="6">
        <f>Consumo_Medido!K68-Consumo_Faturado!K68</f>
        <v>-11</v>
      </c>
      <c r="M68" s="6">
        <f>Consumo_Medido!L68-Consumo_Faturado!L68</f>
        <v>0</v>
      </c>
      <c r="N68" s="6">
        <f>Consumo_Medido!M68-Consumo_Faturado!M68</f>
        <v>0</v>
      </c>
      <c r="O68" s="6">
        <f>Consumo_Medido!N68-Consumo_Faturado!N68</f>
        <v>0</v>
      </c>
    </row>
    <row r="69" spans="1:15" hidden="1" x14ac:dyDescent="0.3">
      <c r="A69" s="1" t="s">
        <v>83</v>
      </c>
      <c r="B69" s="1" t="s">
        <v>75</v>
      </c>
      <c r="C69" s="1"/>
      <c r="D69" s="6">
        <f>Consumo_Medido!C69-Consumo_Faturado!C69</f>
        <v>0</v>
      </c>
      <c r="E69" s="6">
        <f>Consumo_Medido!D69-Consumo_Faturado!D69</f>
        <v>0</v>
      </c>
      <c r="F69" s="6">
        <f>Consumo_Medido!E69-Consumo_Faturado!E69</f>
        <v>0</v>
      </c>
      <c r="G69" s="6">
        <f>Consumo_Medido!F69-Consumo_Faturado!F69</f>
        <v>0</v>
      </c>
      <c r="H69" s="6">
        <f>Consumo_Medido!G69-Consumo_Faturado!G69</f>
        <v>0</v>
      </c>
      <c r="I69" s="6">
        <f>Consumo_Medido!H69-Consumo_Faturado!H69</f>
        <v>0</v>
      </c>
      <c r="J69" s="6">
        <f>Consumo_Medido!I69-Consumo_Faturado!I69</f>
        <v>0</v>
      </c>
      <c r="K69" s="6">
        <f>Consumo_Medido!J69-Consumo_Faturado!J69</f>
        <v>0</v>
      </c>
      <c r="L69" s="6">
        <f>Consumo_Medido!K69-Consumo_Faturado!K69</f>
        <v>0</v>
      </c>
      <c r="M69" s="6">
        <f>Consumo_Medido!L69-Consumo_Faturado!L69</f>
        <v>0</v>
      </c>
      <c r="N69" s="6">
        <f>Consumo_Medido!M69-Consumo_Faturado!M69</f>
        <v>0</v>
      </c>
      <c r="O69" s="6">
        <f>Consumo_Medido!N69-Consumo_Faturado!N69</f>
        <v>0</v>
      </c>
    </row>
    <row r="70" spans="1:15" hidden="1" x14ac:dyDescent="0.3">
      <c r="A70" s="1" t="s">
        <v>84</v>
      </c>
      <c r="B70" s="1" t="s">
        <v>14</v>
      </c>
      <c r="C70" s="1"/>
      <c r="D70" s="6">
        <f>Consumo_Medido!C70-Consumo_Faturado!C70</f>
        <v>0</v>
      </c>
      <c r="E70" s="6">
        <f>Consumo_Medido!D70-Consumo_Faturado!D70</f>
        <v>0</v>
      </c>
      <c r="F70" s="6">
        <f>Consumo_Medido!E70-Consumo_Faturado!E70</f>
        <v>0</v>
      </c>
      <c r="G70" s="6">
        <f>Consumo_Medido!F70-Consumo_Faturado!F70</f>
        <v>0</v>
      </c>
      <c r="H70" s="6">
        <f>Consumo_Medido!G70-Consumo_Faturado!G70</f>
        <v>0</v>
      </c>
      <c r="I70" s="6">
        <f>Consumo_Medido!H70-Consumo_Faturado!H70</f>
        <v>0</v>
      </c>
      <c r="J70" s="6">
        <f>Consumo_Medido!I70-Consumo_Faturado!I70</f>
        <v>0</v>
      </c>
      <c r="K70" s="6">
        <f>Consumo_Medido!J70-Consumo_Faturado!J70</f>
        <v>0</v>
      </c>
      <c r="L70" s="6">
        <f>Consumo_Medido!K70-Consumo_Faturado!K70</f>
        <v>0</v>
      </c>
      <c r="M70" s="6">
        <f>Consumo_Medido!L70-Consumo_Faturado!L70</f>
        <v>0</v>
      </c>
      <c r="N70" s="6">
        <f>Consumo_Medido!M70-Consumo_Faturado!M70</f>
        <v>0</v>
      </c>
      <c r="O70" s="6">
        <f>Consumo_Medido!N70-Consumo_Faturado!N70</f>
        <v>0</v>
      </c>
    </row>
    <row r="71" spans="1:15" hidden="1" x14ac:dyDescent="0.3">
      <c r="A71" s="1" t="s">
        <v>85</v>
      </c>
      <c r="B71" s="2">
        <v>0</v>
      </c>
      <c r="C71" s="2"/>
      <c r="D71" s="6">
        <f>Consumo_Medido!C71-Consumo_Faturado!C71</f>
        <v>-100</v>
      </c>
      <c r="E71" s="6">
        <f>Consumo_Medido!D71-Consumo_Faturado!D71</f>
        <v>0</v>
      </c>
      <c r="F71" s="6">
        <f>Consumo_Medido!E71-Consumo_Faturado!E71</f>
        <v>0</v>
      </c>
      <c r="G71" s="6">
        <f>Consumo_Medido!F71-Consumo_Faturado!F71</f>
        <v>0</v>
      </c>
      <c r="H71" s="6">
        <f>Consumo_Medido!G71-Consumo_Faturado!G71</f>
        <v>0</v>
      </c>
      <c r="I71" s="6">
        <f>Consumo_Medido!H71-Consumo_Faturado!H71</f>
        <v>0</v>
      </c>
      <c r="J71" s="6">
        <f>Consumo_Medido!I71-Consumo_Faturado!I71</f>
        <v>0</v>
      </c>
      <c r="K71" s="6">
        <f>Consumo_Medido!J71-Consumo_Faturado!J71</f>
        <v>0</v>
      </c>
      <c r="L71" s="6">
        <f>Consumo_Medido!K71-Consumo_Faturado!K71</f>
        <v>0</v>
      </c>
      <c r="M71" s="6">
        <f>Consumo_Medido!L71-Consumo_Faturado!L71</f>
        <v>0</v>
      </c>
      <c r="N71" s="6">
        <f>Consumo_Medido!M71-Consumo_Faturado!M71</f>
        <v>0</v>
      </c>
      <c r="O71" s="6">
        <f>Consumo_Medido!N71-Consumo_Faturado!N71</f>
        <v>0</v>
      </c>
    </row>
    <row r="72" spans="1:15" hidden="1" x14ac:dyDescent="0.3">
      <c r="A72" s="1" t="s">
        <v>86</v>
      </c>
      <c r="B72" s="1" t="s">
        <v>14</v>
      </c>
      <c r="C72" s="1"/>
      <c r="D72" s="6">
        <f>Consumo_Medido!C72-Consumo_Faturado!C72</f>
        <v>0</v>
      </c>
      <c r="E72" s="6">
        <f>Consumo_Medido!D72-Consumo_Faturado!D72</f>
        <v>0</v>
      </c>
      <c r="F72" s="6">
        <f>Consumo_Medido!E72-Consumo_Faturado!E72</f>
        <v>0</v>
      </c>
      <c r="G72" s="6">
        <f>Consumo_Medido!F72-Consumo_Faturado!F72</f>
        <v>0</v>
      </c>
      <c r="H72" s="6">
        <f>Consumo_Medido!G72-Consumo_Faturado!G72</f>
        <v>0</v>
      </c>
      <c r="I72" s="6">
        <f>Consumo_Medido!H72-Consumo_Faturado!H72</f>
        <v>0</v>
      </c>
      <c r="J72" s="6">
        <f>Consumo_Medido!I72-Consumo_Faturado!I72</f>
        <v>0</v>
      </c>
      <c r="K72" s="6">
        <f>Consumo_Medido!J72-Consumo_Faturado!J72</f>
        <v>0</v>
      </c>
      <c r="L72" s="6">
        <f>Consumo_Medido!K72-Consumo_Faturado!K72</f>
        <v>0</v>
      </c>
      <c r="M72" s="6">
        <f>Consumo_Medido!L72-Consumo_Faturado!L72</f>
        <v>0</v>
      </c>
      <c r="N72" s="6">
        <f>Consumo_Medido!M72-Consumo_Faturado!M72</f>
        <v>0</v>
      </c>
      <c r="O72" s="6">
        <f>Consumo_Medido!N72-Consumo_Faturado!N72</f>
        <v>0</v>
      </c>
    </row>
    <row r="73" spans="1:15" hidden="1" x14ac:dyDescent="0.3">
      <c r="A73" s="1" t="s">
        <v>87</v>
      </c>
      <c r="B73" s="1" t="s">
        <v>14</v>
      </c>
      <c r="C73" s="1"/>
      <c r="D73" s="6">
        <f>Consumo_Medido!C73-Consumo_Faturado!C73</f>
        <v>0</v>
      </c>
      <c r="E73" s="6">
        <f>Consumo_Medido!D73-Consumo_Faturado!D73</f>
        <v>0</v>
      </c>
      <c r="F73" s="6">
        <f>Consumo_Medido!E73-Consumo_Faturado!E73</f>
        <v>0</v>
      </c>
      <c r="G73" s="6">
        <f>Consumo_Medido!F73-Consumo_Faturado!F73</f>
        <v>0</v>
      </c>
      <c r="H73" s="6">
        <f>Consumo_Medido!G73-Consumo_Faturado!G73</f>
        <v>0</v>
      </c>
      <c r="I73" s="6">
        <f>Consumo_Medido!H73-Consumo_Faturado!H73</f>
        <v>0</v>
      </c>
      <c r="J73" s="6">
        <f>Consumo_Medido!I73-Consumo_Faturado!I73</f>
        <v>0</v>
      </c>
      <c r="K73" s="6">
        <f>Consumo_Medido!J73-Consumo_Faturado!J73</f>
        <v>0</v>
      </c>
      <c r="L73" s="6">
        <f>Consumo_Medido!K73-Consumo_Faturado!K73</f>
        <v>0</v>
      </c>
      <c r="M73" s="6">
        <f>Consumo_Medido!L73-Consumo_Faturado!L73</f>
        <v>0</v>
      </c>
      <c r="N73" s="6">
        <f>Consumo_Medido!M73-Consumo_Faturado!M73</f>
        <v>0</v>
      </c>
      <c r="O73" s="6">
        <f>Consumo_Medido!N73-Consumo_Faturado!N73</f>
        <v>0</v>
      </c>
    </row>
    <row r="74" spans="1:15" hidden="1" x14ac:dyDescent="0.3">
      <c r="A74" s="1" t="s">
        <v>88</v>
      </c>
      <c r="B74" s="1" t="s">
        <v>14</v>
      </c>
      <c r="C74" s="1"/>
      <c r="D74" s="6">
        <f>Consumo_Medido!C74-Consumo_Faturado!C74</f>
        <v>0</v>
      </c>
      <c r="E74" s="6">
        <f>Consumo_Medido!D74-Consumo_Faturado!D74</f>
        <v>0</v>
      </c>
      <c r="F74" s="6">
        <f>Consumo_Medido!E74-Consumo_Faturado!E74</f>
        <v>0</v>
      </c>
      <c r="G74" s="6">
        <f>Consumo_Medido!F74-Consumo_Faturado!F74</f>
        <v>0</v>
      </c>
      <c r="H74" s="6">
        <f>Consumo_Medido!G74-Consumo_Faturado!G74</f>
        <v>0</v>
      </c>
      <c r="I74" s="6">
        <f>Consumo_Medido!H74-Consumo_Faturado!H74</f>
        <v>0</v>
      </c>
      <c r="J74" s="6">
        <f>Consumo_Medido!I74-Consumo_Faturado!I74</f>
        <v>0</v>
      </c>
      <c r="K74" s="6">
        <f>Consumo_Medido!J74-Consumo_Faturado!J74</f>
        <v>0</v>
      </c>
      <c r="L74" s="6">
        <f>Consumo_Medido!K74-Consumo_Faturado!K74</f>
        <v>0</v>
      </c>
      <c r="M74" s="6">
        <f>Consumo_Medido!L74-Consumo_Faturado!L74</f>
        <v>0</v>
      </c>
      <c r="N74" s="6">
        <f>Consumo_Medido!M74-Consumo_Faturado!M74</f>
        <v>0</v>
      </c>
      <c r="O74" s="6">
        <f>Consumo_Medido!N74-Consumo_Faturado!N74</f>
        <v>0</v>
      </c>
    </row>
    <row r="75" spans="1:15" hidden="1" x14ac:dyDescent="0.3">
      <c r="A75" s="1" t="s">
        <v>89</v>
      </c>
      <c r="B75" s="1" t="s">
        <v>14</v>
      </c>
      <c r="C75" s="1"/>
      <c r="D75" s="6">
        <f>Consumo_Medido!C75-Consumo_Faturado!C75</f>
        <v>0</v>
      </c>
      <c r="E75" s="6">
        <f>Consumo_Medido!D75-Consumo_Faturado!D75</f>
        <v>0</v>
      </c>
      <c r="F75" s="6">
        <f>Consumo_Medido!E75-Consumo_Faturado!E75</f>
        <v>0</v>
      </c>
      <c r="G75" s="6">
        <f>Consumo_Medido!F75-Consumo_Faturado!F75</f>
        <v>0</v>
      </c>
      <c r="H75" s="6">
        <f>Consumo_Medido!G75-Consumo_Faturado!G75</f>
        <v>0</v>
      </c>
      <c r="I75" s="6">
        <f>Consumo_Medido!H75-Consumo_Faturado!H75</f>
        <v>0</v>
      </c>
      <c r="J75" s="6">
        <f>Consumo_Medido!I75-Consumo_Faturado!I75</f>
        <v>0</v>
      </c>
      <c r="K75" s="6">
        <f>Consumo_Medido!J75-Consumo_Faturado!J75</f>
        <v>0</v>
      </c>
      <c r="L75" s="6">
        <f>Consumo_Medido!K75-Consumo_Faturado!K75</f>
        <v>0</v>
      </c>
      <c r="M75" s="6">
        <f>Consumo_Medido!L75-Consumo_Faturado!L75</f>
        <v>0</v>
      </c>
      <c r="N75" s="6">
        <f>Consumo_Medido!M75-Consumo_Faturado!M75</f>
        <v>0</v>
      </c>
      <c r="O75" s="6">
        <f>Consumo_Medido!N75-Consumo_Faturado!N75</f>
        <v>0</v>
      </c>
    </row>
    <row r="76" spans="1:15" hidden="1" x14ac:dyDescent="0.3">
      <c r="A76" s="1" t="s">
        <v>90</v>
      </c>
      <c r="B76" s="1" t="s">
        <v>14</v>
      </c>
      <c r="C76" s="1"/>
      <c r="D76" s="6">
        <f>Consumo_Medido!C76-Consumo_Faturado!C76</f>
        <v>0</v>
      </c>
      <c r="E76" s="6">
        <f>Consumo_Medido!D76-Consumo_Faturado!D76</f>
        <v>0</v>
      </c>
      <c r="F76" s="6">
        <f>Consumo_Medido!E76-Consumo_Faturado!E76</f>
        <v>0</v>
      </c>
      <c r="G76" s="6">
        <f>Consumo_Medido!F76-Consumo_Faturado!F76</f>
        <v>0</v>
      </c>
      <c r="H76" s="6">
        <f>Consumo_Medido!G76-Consumo_Faturado!G76</f>
        <v>0</v>
      </c>
      <c r="I76" s="6">
        <f>Consumo_Medido!H76-Consumo_Faturado!H76</f>
        <v>0</v>
      </c>
      <c r="J76" s="6">
        <f>Consumo_Medido!I76-Consumo_Faturado!I76</f>
        <v>0</v>
      </c>
      <c r="K76" s="6">
        <f>Consumo_Medido!J76-Consumo_Faturado!J76</f>
        <v>0</v>
      </c>
      <c r="L76" s="6">
        <f>Consumo_Medido!K76-Consumo_Faturado!K76</f>
        <v>0</v>
      </c>
      <c r="M76" s="6">
        <f>Consumo_Medido!L76-Consumo_Faturado!L76</f>
        <v>0</v>
      </c>
      <c r="N76" s="6">
        <f>Consumo_Medido!M76-Consumo_Faturado!M76</f>
        <v>0</v>
      </c>
      <c r="O76" s="6">
        <f>Consumo_Medido!N76-Consumo_Faturado!N76</f>
        <v>0</v>
      </c>
    </row>
    <row r="77" spans="1:15" hidden="1" x14ac:dyDescent="0.3">
      <c r="A77" s="1" t="s">
        <v>91</v>
      </c>
      <c r="B77" s="1" t="s">
        <v>14</v>
      </c>
      <c r="C77" s="1"/>
      <c r="D77" s="6">
        <f>Consumo_Medido!C77-Consumo_Faturado!C77</f>
        <v>0</v>
      </c>
      <c r="E77" s="6">
        <f>Consumo_Medido!D77-Consumo_Faturado!D77</f>
        <v>-30</v>
      </c>
      <c r="F77" s="6">
        <f>Consumo_Medido!E77-Consumo_Faturado!E77</f>
        <v>-30</v>
      </c>
      <c r="G77" s="6">
        <f>Consumo_Medido!F77-Consumo_Faturado!F77</f>
        <v>-30</v>
      </c>
      <c r="H77" s="6">
        <f>Consumo_Medido!G77-Consumo_Faturado!G77</f>
        <v>-30</v>
      </c>
      <c r="I77" s="6">
        <f>Consumo_Medido!H77-Consumo_Faturado!H77</f>
        <v>-30</v>
      </c>
      <c r="J77" s="6">
        <f>Consumo_Medido!I77-Consumo_Faturado!I77</f>
        <v>-30</v>
      </c>
      <c r="K77" s="6">
        <f>Consumo_Medido!J77-Consumo_Faturado!J77</f>
        <v>-30</v>
      </c>
      <c r="L77" s="6">
        <f>Consumo_Medido!K77-Consumo_Faturado!K77</f>
        <v>-30</v>
      </c>
      <c r="M77" s="6">
        <f>Consumo_Medido!L77-Consumo_Faturado!L77</f>
        <v>-30</v>
      </c>
      <c r="N77" s="6">
        <f>Consumo_Medido!M77-Consumo_Faturado!M77</f>
        <v>-30</v>
      </c>
      <c r="O77" s="6">
        <f>Consumo_Medido!N77-Consumo_Faturado!N77</f>
        <v>-30</v>
      </c>
    </row>
    <row r="78" spans="1:15" hidden="1" x14ac:dyDescent="0.3">
      <c r="A78" s="1" t="s">
        <v>92</v>
      </c>
      <c r="B78" s="1" t="s">
        <v>14</v>
      </c>
      <c r="C78" s="1"/>
      <c r="D78" s="6">
        <f>Consumo_Medido!C78-Consumo_Faturado!C78</f>
        <v>0</v>
      </c>
      <c r="E78" s="6">
        <f>Consumo_Medido!D78-Consumo_Faturado!D78</f>
        <v>-30</v>
      </c>
      <c r="F78" s="6">
        <f>Consumo_Medido!E78-Consumo_Faturado!E78</f>
        <v>-30</v>
      </c>
      <c r="G78" s="6">
        <f>Consumo_Medido!F78-Consumo_Faturado!F78</f>
        <v>-30</v>
      </c>
      <c r="H78" s="6">
        <f>Consumo_Medido!G78-Consumo_Faturado!G78</f>
        <v>-30</v>
      </c>
      <c r="I78" s="6">
        <f>Consumo_Medido!H78-Consumo_Faturado!H78</f>
        <v>-30</v>
      </c>
      <c r="J78" s="6">
        <f>Consumo_Medido!I78-Consumo_Faturado!I78</f>
        <v>-30</v>
      </c>
      <c r="K78" s="6">
        <f>Consumo_Medido!J78-Consumo_Faturado!J78</f>
        <v>-30</v>
      </c>
      <c r="L78" s="6">
        <f>Consumo_Medido!K78-Consumo_Faturado!K78</f>
        <v>-30</v>
      </c>
      <c r="M78" s="6">
        <f>Consumo_Medido!L78-Consumo_Faturado!L78</f>
        <v>-30</v>
      </c>
      <c r="N78" s="6">
        <f>Consumo_Medido!M78-Consumo_Faturado!M78</f>
        <v>-30</v>
      </c>
      <c r="O78" s="6">
        <f>Consumo_Medido!N78-Consumo_Faturado!N78</f>
        <v>-30</v>
      </c>
    </row>
    <row r="79" spans="1:15" hidden="1" x14ac:dyDescent="0.3">
      <c r="A79" s="1" t="s">
        <v>93</v>
      </c>
      <c r="B79" s="1" t="s">
        <v>14</v>
      </c>
      <c r="C79" s="1"/>
      <c r="D79" s="6">
        <f>Consumo_Medido!C79-Consumo_Faturado!C79</f>
        <v>0</v>
      </c>
      <c r="E79" s="6">
        <f>Consumo_Medido!D79-Consumo_Faturado!D79</f>
        <v>0</v>
      </c>
      <c r="F79" s="6">
        <f>Consumo_Medido!E79-Consumo_Faturado!E79</f>
        <v>0</v>
      </c>
      <c r="G79" s="6">
        <f>Consumo_Medido!F79-Consumo_Faturado!F79</f>
        <v>0</v>
      </c>
      <c r="H79" s="6">
        <f>Consumo_Medido!G79-Consumo_Faturado!G79</f>
        <v>0</v>
      </c>
      <c r="I79" s="6">
        <f>Consumo_Medido!H79-Consumo_Faturado!H79</f>
        <v>0</v>
      </c>
      <c r="J79" s="6">
        <f>Consumo_Medido!I79-Consumo_Faturado!I79</f>
        <v>0</v>
      </c>
      <c r="K79" s="6">
        <f>Consumo_Medido!J79-Consumo_Faturado!J79</f>
        <v>0</v>
      </c>
      <c r="L79" s="6">
        <f>Consumo_Medido!K79-Consumo_Faturado!K79</f>
        <v>0</v>
      </c>
      <c r="M79" s="6">
        <f>Consumo_Medido!L79-Consumo_Faturado!L79</f>
        <v>0</v>
      </c>
      <c r="N79" s="6">
        <f>Consumo_Medido!M79-Consumo_Faturado!M79</f>
        <v>0</v>
      </c>
      <c r="O79" s="6">
        <f>Consumo_Medido!N79-Consumo_Faturado!N79</f>
        <v>0</v>
      </c>
    </row>
    <row r="80" spans="1:15" hidden="1" x14ac:dyDescent="0.3">
      <c r="A80" s="1" t="s">
        <v>94</v>
      </c>
      <c r="B80" s="1" t="s">
        <v>14</v>
      </c>
      <c r="C80" s="1"/>
      <c r="D80" s="6">
        <f>Consumo_Medido!C80-Consumo_Faturado!C80</f>
        <v>0</v>
      </c>
      <c r="E80" s="6">
        <f>Consumo_Medido!D80-Consumo_Faturado!D80</f>
        <v>0</v>
      </c>
      <c r="F80" s="6">
        <f>Consumo_Medido!E80-Consumo_Faturado!E80</f>
        <v>0</v>
      </c>
      <c r="G80" s="6">
        <f>Consumo_Medido!F80-Consumo_Faturado!F80</f>
        <v>-7</v>
      </c>
      <c r="H80" s="6">
        <f>Consumo_Medido!G80-Consumo_Faturado!G80</f>
        <v>0</v>
      </c>
      <c r="I80" s="6">
        <f>Consumo_Medido!H80-Consumo_Faturado!H80</f>
        <v>0</v>
      </c>
      <c r="J80" s="6">
        <f>Consumo_Medido!I80-Consumo_Faturado!I80</f>
        <v>0</v>
      </c>
      <c r="K80" s="6">
        <f>Consumo_Medido!J80-Consumo_Faturado!J80</f>
        <v>0</v>
      </c>
      <c r="L80" s="6">
        <f>Consumo_Medido!K80-Consumo_Faturado!K80</f>
        <v>0</v>
      </c>
      <c r="M80" s="6">
        <f>Consumo_Medido!L80-Consumo_Faturado!L80</f>
        <v>0</v>
      </c>
      <c r="N80" s="6">
        <f>Consumo_Medido!M80-Consumo_Faturado!M80</f>
        <v>0</v>
      </c>
      <c r="O80" s="6">
        <f>Consumo_Medido!N80-Consumo_Faturado!N80</f>
        <v>0</v>
      </c>
    </row>
    <row r="81" spans="1:15" hidden="1" x14ac:dyDescent="0.3">
      <c r="A81" s="1" t="s">
        <v>95</v>
      </c>
      <c r="B81" s="1" t="s">
        <v>75</v>
      </c>
      <c r="C81" s="1"/>
      <c r="D81" s="6">
        <f>Consumo_Medido!C81-Consumo_Faturado!C81</f>
        <v>0</v>
      </c>
      <c r="E81" s="6">
        <f>Consumo_Medido!D81-Consumo_Faturado!D81</f>
        <v>0</v>
      </c>
      <c r="F81" s="6">
        <f>Consumo_Medido!E81-Consumo_Faturado!E81</f>
        <v>0</v>
      </c>
      <c r="G81" s="6">
        <f>Consumo_Medido!F81-Consumo_Faturado!F81</f>
        <v>0</v>
      </c>
      <c r="H81" s="6">
        <f>Consumo_Medido!G81-Consumo_Faturado!G81</f>
        <v>0</v>
      </c>
      <c r="I81" s="6">
        <f>Consumo_Medido!H81-Consumo_Faturado!H81</f>
        <v>0</v>
      </c>
      <c r="J81" s="6">
        <f>Consumo_Medido!I81-Consumo_Faturado!I81</f>
        <v>0</v>
      </c>
      <c r="K81" s="6">
        <f>Consumo_Medido!J81-Consumo_Faturado!J81</f>
        <v>0</v>
      </c>
      <c r="L81" s="6">
        <f>Consumo_Medido!K81-Consumo_Faturado!K81</f>
        <v>0</v>
      </c>
      <c r="M81" s="6">
        <f>Consumo_Medido!L81-Consumo_Faturado!L81</f>
        <v>0</v>
      </c>
      <c r="N81" s="6">
        <f>Consumo_Medido!M81-Consumo_Faturado!M81</f>
        <v>0</v>
      </c>
      <c r="O81" s="6">
        <f>Consumo_Medido!N81-Consumo_Faturado!N81</f>
        <v>0</v>
      </c>
    </row>
    <row r="82" spans="1:15" hidden="1" x14ac:dyDescent="0.3">
      <c r="A82" s="1" t="s">
        <v>96</v>
      </c>
      <c r="B82" s="1" t="s">
        <v>14</v>
      </c>
      <c r="C82" s="1"/>
      <c r="D82" s="6">
        <f>Consumo_Medido!C82-Consumo_Faturado!C82</f>
        <v>0</v>
      </c>
      <c r="E82" s="6">
        <f>Consumo_Medido!D82-Consumo_Faturado!D82</f>
        <v>-6</v>
      </c>
      <c r="F82" s="6">
        <f>Consumo_Medido!E82-Consumo_Faturado!E82</f>
        <v>0</v>
      </c>
      <c r="G82" s="6">
        <f>Consumo_Medido!F82-Consumo_Faturado!F82</f>
        <v>0</v>
      </c>
      <c r="H82" s="6">
        <f>Consumo_Medido!G82-Consumo_Faturado!G82</f>
        <v>0</v>
      </c>
      <c r="I82" s="6">
        <f>Consumo_Medido!H82-Consumo_Faturado!H82</f>
        <v>0</v>
      </c>
      <c r="J82" s="6">
        <f>Consumo_Medido!I82-Consumo_Faturado!I82</f>
        <v>0</v>
      </c>
      <c r="K82" s="6">
        <f>Consumo_Medido!J82-Consumo_Faturado!J82</f>
        <v>0</v>
      </c>
      <c r="L82" s="6">
        <f>Consumo_Medido!K82-Consumo_Faturado!K82</f>
        <v>0</v>
      </c>
      <c r="M82" s="6">
        <f>Consumo_Medido!L82-Consumo_Faturado!L82</f>
        <v>0</v>
      </c>
      <c r="N82" s="6">
        <f>Consumo_Medido!M82-Consumo_Faturado!M82</f>
        <v>0</v>
      </c>
      <c r="O82" s="6">
        <f>Consumo_Medido!N82-Consumo_Faturado!N82</f>
        <v>0</v>
      </c>
    </row>
    <row r="83" spans="1:15" hidden="1" x14ac:dyDescent="0.3">
      <c r="A83" s="1" t="s">
        <v>97</v>
      </c>
      <c r="B83" s="1" t="s">
        <v>14</v>
      </c>
      <c r="C83" s="1"/>
      <c r="D83" s="6">
        <f>Consumo_Medido!C83-Consumo_Faturado!C83</f>
        <v>0</v>
      </c>
      <c r="E83" s="6">
        <f>Consumo_Medido!D83-Consumo_Faturado!D83</f>
        <v>0</v>
      </c>
      <c r="F83" s="6">
        <f>Consumo_Medido!E83-Consumo_Faturado!E83</f>
        <v>0</v>
      </c>
      <c r="G83" s="6">
        <f>Consumo_Medido!F83-Consumo_Faturado!F83</f>
        <v>0</v>
      </c>
      <c r="H83" s="6">
        <f>Consumo_Medido!G83-Consumo_Faturado!G83</f>
        <v>0</v>
      </c>
      <c r="I83" s="6">
        <f>Consumo_Medido!H83-Consumo_Faturado!H83</f>
        <v>0</v>
      </c>
      <c r="J83" s="6">
        <f>Consumo_Medido!I83-Consumo_Faturado!I83</f>
        <v>-3</v>
      </c>
      <c r="K83" s="6">
        <f>Consumo_Medido!J83-Consumo_Faturado!J83</f>
        <v>0</v>
      </c>
      <c r="L83" s="6">
        <f>Consumo_Medido!K83-Consumo_Faturado!K83</f>
        <v>-5</v>
      </c>
      <c r="M83" s="6">
        <f>Consumo_Medido!L83-Consumo_Faturado!L83</f>
        <v>0</v>
      </c>
      <c r="N83" s="6">
        <f>Consumo_Medido!M83-Consumo_Faturado!M83</f>
        <v>0</v>
      </c>
      <c r="O83" s="6">
        <f>Consumo_Medido!N83-Consumo_Faturado!N83</f>
        <v>0</v>
      </c>
    </row>
    <row r="84" spans="1:15" hidden="1" x14ac:dyDescent="0.3">
      <c r="A84" s="1" t="s">
        <v>98</v>
      </c>
      <c r="B84" s="1" t="s">
        <v>14</v>
      </c>
      <c r="C84" s="1"/>
      <c r="D84" s="6">
        <f>Consumo_Medido!C84-Consumo_Faturado!C84</f>
        <v>0</v>
      </c>
      <c r="E84" s="6">
        <f>Consumo_Medido!D84-Consumo_Faturado!D84</f>
        <v>0</v>
      </c>
      <c r="F84" s="6">
        <f>Consumo_Medido!E84-Consumo_Faturado!E84</f>
        <v>0</v>
      </c>
      <c r="G84" s="6">
        <f>Consumo_Medido!F84-Consumo_Faturado!F84</f>
        <v>0</v>
      </c>
      <c r="H84" s="6">
        <f>Consumo_Medido!G84-Consumo_Faturado!G84</f>
        <v>0</v>
      </c>
      <c r="I84" s="6">
        <f>Consumo_Medido!H84-Consumo_Faturado!H84</f>
        <v>0</v>
      </c>
      <c r="J84" s="6">
        <f>Consumo_Medido!I84-Consumo_Faturado!I84</f>
        <v>0</v>
      </c>
      <c r="K84" s="6">
        <f>Consumo_Medido!J84-Consumo_Faturado!J84</f>
        <v>0</v>
      </c>
      <c r="L84" s="6">
        <f>Consumo_Medido!K84-Consumo_Faturado!K84</f>
        <v>0</v>
      </c>
      <c r="M84" s="6">
        <f>Consumo_Medido!L84-Consumo_Faturado!L84</f>
        <v>0</v>
      </c>
      <c r="N84" s="6">
        <f>Consumo_Medido!M84-Consumo_Faturado!M84</f>
        <v>0</v>
      </c>
      <c r="O84" s="6">
        <f>Consumo_Medido!N84-Consumo_Faturado!N84</f>
        <v>0</v>
      </c>
    </row>
    <row r="85" spans="1:15" hidden="1" x14ac:dyDescent="0.3">
      <c r="A85" s="1" t="s">
        <v>99</v>
      </c>
      <c r="B85" s="1" t="s">
        <v>14</v>
      </c>
      <c r="C85" s="1"/>
      <c r="D85" s="6">
        <f>Consumo_Medido!C85-Consumo_Faturado!C85</f>
        <v>0</v>
      </c>
      <c r="E85" s="6">
        <f>Consumo_Medido!D85-Consumo_Faturado!D85</f>
        <v>0</v>
      </c>
      <c r="F85" s="6">
        <f>Consumo_Medido!E85-Consumo_Faturado!E85</f>
        <v>0</v>
      </c>
      <c r="G85" s="6">
        <f>Consumo_Medido!F85-Consumo_Faturado!F85</f>
        <v>0</v>
      </c>
      <c r="H85" s="6">
        <f>Consumo_Medido!G85-Consumo_Faturado!G85</f>
        <v>0</v>
      </c>
      <c r="I85" s="6">
        <f>Consumo_Medido!H85-Consumo_Faturado!H85</f>
        <v>0</v>
      </c>
      <c r="J85" s="6">
        <f>Consumo_Medido!I85-Consumo_Faturado!I85</f>
        <v>0</v>
      </c>
      <c r="K85" s="6">
        <f>Consumo_Medido!J85-Consumo_Faturado!J85</f>
        <v>0</v>
      </c>
      <c r="L85" s="6">
        <f>Consumo_Medido!K85-Consumo_Faturado!K85</f>
        <v>0</v>
      </c>
      <c r="M85" s="6">
        <f>Consumo_Medido!L85-Consumo_Faturado!L85</f>
        <v>0</v>
      </c>
      <c r="N85" s="6">
        <f>Consumo_Medido!M85-Consumo_Faturado!M85</f>
        <v>0</v>
      </c>
      <c r="O85" s="6">
        <f>Consumo_Medido!N85-Consumo_Faturado!N85</f>
        <v>0</v>
      </c>
    </row>
    <row r="86" spans="1:15" hidden="1" x14ac:dyDescent="0.3">
      <c r="A86" s="1" t="s">
        <v>100</v>
      </c>
      <c r="B86" s="1" t="s">
        <v>14</v>
      </c>
      <c r="C86" s="1"/>
      <c r="D86" s="6">
        <f>Consumo_Medido!C86-Consumo_Faturado!C86</f>
        <v>0</v>
      </c>
      <c r="E86" s="6">
        <f>Consumo_Medido!D86-Consumo_Faturado!D86</f>
        <v>0</v>
      </c>
      <c r="F86" s="6">
        <f>Consumo_Medido!E86-Consumo_Faturado!E86</f>
        <v>0</v>
      </c>
      <c r="G86" s="6">
        <f>Consumo_Medido!F86-Consumo_Faturado!F86</f>
        <v>0</v>
      </c>
      <c r="H86" s="6">
        <f>Consumo_Medido!G86-Consumo_Faturado!G86</f>
        <v>0</v>
      </c>
      <c r="I86" s="6">
        <f>Consumo_Medido!H86-Consumo_Faturado!H86</f>
        <v>0</v>
      </c>
      <c r="J86" s="6">
        <f>Consumo_Medido!I86-Consumo_Faturado!I86</f>
        <v>0</v>
      </c>
      <c r="K86" s="6">
        <f>Consumo_Medido!J86-Consumo_Faturado!J86</f>
        <v>0</v>
      </c>
      <c r="L86" s="6">
        <f>Consumo_Medido!K86-Consumo_Faturado!K86</f>
        <v>0</v>
      </c>
      <c r="M86" s="6">
        <f>Consumo_Medido!L86-Consumo_Faturado!L86</f>
        <v>0</v>
      </c>
      <c r="N86" s="6">
        <f>Consumo_Medido!M86-Consumo_Faturado!M86</f>
        <v>0</v>
      </c>
      <c r="O86" s="6">
        <f>Consumo_Medido!N86-Consumo_Faturado!N86</f>
        <v>0</v>
      </c>
    </row>
    <row r="87" spans="1:15" hidden="1" x14ac:dyDescent="0.3">
      <c r="A87" s="1" t="s">
        <v>101</v>
      </c>
      <c r="B87" s="1" t="s">
        <v>14</v>
      </c>
      <c r="C87" s="1"/>
      <c r="D87" s="6">
        <f>Consumo_Medido!C87-Consumo_Faturado!C87</f>
        <v>0</v>
      </c>
      <c r="E87" s="6">
        <f>Consumo_Medido!D87-Consumo_Faturado!D87</f>
        <v>-30</v>
      </c>
      <c r="F87" s="6">
        <f>Consumo_Medido!E87-Consumo_Faturado!E87</f>
        <v>-30</v>
      </c>
      <c r="G87" s="6">
        <f>Consumo_Medido!F87-Consumo_Faturado!F87</f>
        <v>-30</v>
      </c>
      <c r="H87" s="6">
        <f>Consumo_Medido!G87-Consumo_Faturado!G87</f>
        <v>-30</v>
      </c>
      <c r="I87" s="6">
        <f>Consumo_Medido!H87-Consumo_Faturado!H87</f>
        <v>-30</v>
      </c>
      <c r="J87" s="6">
        <f>Consumo_Medido!I87-Consumo_Faturado!I87</f>
        <v>-30</v>
      </c>
      <c r="K87" s="6">
        <f>Consumo_Medido!J87-Consumo_Faturado!J87</f>
        <v>-30</v>
      </c>
      <c r="L87" s="6">
        <f>Consumo_Medido!K87-Consumo_Faturado!K87</f>
        <v>-30</v>
      </c>
      <c r="M87" s="6">
        <f>Consumo_Medido!L87-Consumo_Faturado!L87</f>
        <v>-30</v>
      </c>
      <c r="N87" s="6">
        <f>Consumo_Medido!M87-Consumo_Faturado!M87</f>
        <v>-30</v>
      </c>
      <c r="O87" s="6">
        <f>Consumo_Medido!N87-Consumo_Faturado!N87</f>
        <v>-30</v>
      </c>
    </row>
    <row r="88" spans="1:15" hidden="1" x14ac:dyDescent="0.3">
      <c r="A88" s="1" t="s">
        <v>102</v>
      </c>
      <c r="B88" s="1" t="s">
        <v>14</v>
      </c>
      <c r="C88" s="1"/>
      <c r="D88" s="6">
        <f>Consumo_Medido!C88-Consumo_Faturado!C88</f>
        <v>0</v>
      </c>
      <c r="E88" s="6">
        <f>Consumo_Medido!D88-Consumo_Faturado!D88</f>
        <v>-30</v>
      </c>
      <c r="F88" s="6">
        <f>Consumo_Medido!E88-Consumo_Faturado!E88</f>
        <v>-30</v>
      </c>
      <c r="G88" s="6">
        <f>Consumo_Medido!F88-Consumo_Faturado!F88</f>
        <v>-30</v>
      </c>
      <c r="H88" s="6">
        <f>Consumo_Medido!G88-Consumo_Faturado!G88</f>
        <v>-30</v>
      </c>
      <c r="I88" s="6">
        <f>Consumo_Medido!H88-Consumo_Faturado!H88</f>
        <v>-30</v>
      </c>
      <c r="J88" s="6">
        <f>Consumo_Medido!I88-Consumo_Faturado!I88</f>
        <v>-30</v>
      </c>
      <c r="K88" s="6">
        <f>Consumo_Medido!J88-Consumo_Faturado!J88</f>
        <v>-30</v>
      </c>
      <c r="L88" s="6">
        <f>Consumo_Medido!K88-Consumo_Faturado!K88</f>
        <v>-9</v>
      </c>
      <c r="M88" s="6">
        <f>Consumo_Medido!L88-Consumo_Faturado!L88</f>
        <v>-29</v>
      </c>
      <c r="N88" s="6">
        <f>Consumo_Medido!M88-Consumo_Faturado!M88</f>
        <v>-30</v>
      </c>
      <c r="O88" s="6">
        <f>Consumo_Medido!N88-Consumo_Faturado!N88</f>
        <v>-30</v>
      </c>
    </row>
    <row r="89" spans="1:15" hidden="1" x14ac:dyDescent="0.3">
      <c r="A89" s="1" t="s">
        <v>103</v>
      </c>
      <c r="B89" s="1" t="s">
        <v>14</v>
      </c>
      <c r="C89" s="1"/>
      <c r="D89" s="6">
        <f>Consumo_Medido!C89-Consumo_Faturado!C89</f>
        <v>0</v>
      </c>
      <c r="E89" s="6">
        <f>Consumo_Medido!D89-Consumo_Faturado!D89</f>
        <v>0</v>
      </c>
      <c r="F89" s="6">
        <f>Consumo_Medido!E89-Consumo_Faturado!E89</f>
        <v>0</v>
      </c>
      <c r="G89" s="6">
        <f>Consumo_Medido!F89-Consumo_Faturado!F89</f>
        <v>0</v>
      </c>
      <c r="H89" s="6">
        <f>Consumo_Medido!G89-Consumo_Faturado!G89</f>
        <v>0</v>
      </c>
      <c r="I89" s="6">
        <f>Consumo_Medido!H89-Consumo_Faturado!H89</f>
        <v>0</v>
      </c>
      <c r="J89" s="6">
        <f>Consumo_Medido!I89-Consumo_Faturado!I89</f>
        <v>0</v>
      </c>
      <c r="K89" s="6">
        <f>Consumo_Medido!J89-Consumo_Faturado!J89</f>
        <v>0</v>
      </c>
      <c r="L89" s="6">
        <f>Consumo_Medido!K89-Consumo_Faturado!K89</f>
        <v>0</v>
      </c>
      <c r="M89" s="6">
        <f>Consumo_Medido!L89-Consumo_Faturado!L89</f>
        <v>0</v>
      </c>
      <c r="N89" s="6">
        <f>Consumo_Medido!M89-Consumo_Faturado!M89</f>
        <v>0</v>
      </c>
      <c r="O89" s="6">
        <f>Consumo_Medido!N89-Consumo_Faturado!N89</f>
        <v>0</v>
      </c>
    </row>
    <row r="90" spans="1:15" hidden="1" x14ac:dyDescent="0.3">
      <c r="A90" s="1" t="s">
        <v>104</v>
      </c>
      <c r="B90" s="1" t="s">
        <v>14</v>
      </c>
      <c r="C90" s="1"/>
      <c r="D90" s="6">
        <f>Consumo_Medido!C90-Consumo_Faturado!C90</f>
        <v>0</v>
      </c>
      <c r="E90" s="6">
        <f>Consumo_Medido!D90-Consumo_Faturado!D90</f>
        <v>-30</v>
      </c>
      <c r="F90" s="6">
        <f>Consumo_Medido!E90-Consumo_Faturado!E90</f>
        <v>-30</v>
      </c>
      <c r="G90" s="6">
        <f>Consumo_Medido!F90-Consumo_Faturado!F90</f>
        <v>-30</v>
      </c>
      <c r="H90" s="6">
        <f>Consumo_Medido!G90-Consumo_Faturado!G90</f>
        <v>-30</v>
      </c>
      <c r="I90" s="6">
        <f>Consumo_Medido!H90-Consumo_Faturado!H90</f>
        <v>-30</v>
      </c>
      <c r="J90" s="6">
        <f>Consumo_Medido!I90-Consumo_Faturado!I90</f>
        <v>-30</v>
      </c>
      <c r="K90" s="6">
        <f>Consumo_Medido!J90-Consumo_Faturado!J90</f>
        <v>-30</v>
      </c>
      <c r="L90" s="6">
        <f>Consumo_Medido!K90-Consumo_Faturado!K90</f>
        <v>-30</v>
      </c>
      <c r="M90" s="6">
        <f>Consumo_Medido!L90-Consumo_Faturado!L90</f>
        <v>-30</v>
      </c>
      <c r="N90" s="6">
        <f>Consumo_Medido!M90-Consumo_Faturado!M90</f>
        <v>-30</v>
      </c>
      <c r="O90" s="6">
        <f>Consumo_Medido!N90-Consumo_Faturado!N90</f>
        <v>-30</v>
      </c>
    </row>
    <row r="91" spans="1:15" hidden="1" x14ac:dyDescent="0.3">
      <c r="A91" s="1" t="s">
        <v>105</v>
      </c>
      <c r="B91" s="1" t="s">
        <v>14</v>
      </c>
      <c r="C91" s="1"/>
      <c r="D91" s="6">
        <f>Consumo_Medido!C91-Consumo_Faturado!C91</f>
        <v>0</v>
      </c>
      <c r="E91" s="6">
        <f>Consumo_Medido!D91-Consumo_Faturado!D91</f>
        <v>0</v>
      </c>
      <c r="F91" s="6">
        <f>Consumo_Medido!E91-Consumo_Faturado!E91</f>
        <v>0</v>
      </c>
      <c r="G91" s="6">
        <f>Consumo_Medido!F91-Consumo_Faturado!F91</f>
        <v>0</v>
      </c>
      <c r="H91" s="6">
        <f>Consumo_Medido!G91-Consumo_Faturado!G91</f>
        <v>0</v>
      </c>
      <c r="I91" s="6">
        <f>Consumo_Medido!H91-Consumo_Faturado!H91</f>
        <v>0</v>
      </c>
      <c r="J91" s="6">
        <f>Consumo_Medido!I91-Consumo_Faturado!I91</f>
        <v>0</v>
      </c>
      <c r="K91" s="6">
        <f>Consumo_Medido!J91-Consumo_Faturado!J91</f>
        <v>0</v>
      </c>
      <c r="L91" s="6">
        <f>Consumo_Medido!K91-Consumo_Faturado!K91</f>
        <v>0</v>
      </c>
      <c r="M91" s="6">
        <f>Consumo_Medido!L91-Consumo_Faturado!L91</f>
        <v>0</v>
      </c>
      <c r="N91" s="6">
        <f>Consumo_Medido!M91-Consumo_Faturado!M91</f>
        <v>0</v>
      </c>
      <c r="O91" s="6">
        <f>Consumo_Medido!N91-Consumo_Faturado!N91</f>
        <v>0</v>
      </c>
    </row>
    <row r="92" spans="1:15" hidden="1" x14ac:dyDescent="0.3">
      <c r="A92" s="1" t="s">
        <v>106</v>
      </c>
      <c r="B92" s="1" t="s">
        <v>14</v>
      </c>
      <c r="C92" s="1"/>
      <c r="D92" s="6">
        <f>Consumo_Medido!C92-Consumo_Faturado!C92</f>
        <v>0</v>
      </c>
      <c r="E92" s="6">
        <f>Consumo_Medido!D92-Consumo_Faturado!D92</f>
        <v>0</v>
      </c>
      <c r="F92" s="6">
        <f>Consumo_Medido!E92-Consumo_Faturado!E92</f>
        <v>0</v>
      </c>
      <c r="G92" s="6">
        <f>Consumo_Medido!F92-Consumo_Faturado!F92</f>
        <v>0</v>
      </c>
      <c r="H92" s="6">
        <f>Consumo_Medido!G92-Consumo_Faturado!G92</f>
        <v>0</v>
      </c>
      <c r="I92" s="6">
        <f>Consumo_Medido!H92-Consumo_Faturado!H92</f>
        <v>0</v>
      </c>
      <c r="J92" s="6">
        <f>Consumo_Medido!I92-Consumo_Faturado!I92</f>
        <v>0</v>
      </c>
      <c r="K92" s="6">
        <f>Consumo_Medido!J92-Consumo_Faturado!J92</f>
        <v>0</v>
      </c>
      <c r="L92" s="6">
        <f>Consumo_Medido!K92-Consumo_Faturado!K92</f>
        <v>0</v>
      </c>
      <c r="M92" s="6">
        <f>Consumo_Medido!L92-Consumo_Faturado!L92</f>
        <v>0</v>
      </c>
      <c r="N92" s="6">
        <f>Consumo_Medido!M92-Consumo_Faturado!M92</f>
        <v>0</v>
      </c>
      <c r="O92" s="6">
        <f>Consumo_Medido!N92-Consumo_Faturado!N92</f>
        <v>0</v>
      </c>
    </row>
    <row r="93" spans="1:15" hidden="1" x14ac:dyDescent="0.3">
      <c r="A93" s="1" t="s">
        <v>107</v>
      </c>
      <c r="B93" s="1" t="s">
        <v>14</v>
      </c>
      <c r="C93" s="1"/>
      <c r="D93" s="6">
        <f>Consumo_Medido!C93-Consumo_Faturado!C93</f>
        <v>0</v>
      </c>
      <c r="E93" s="6">
        <f>Consumo_Medido!D93-Consumo_Faturado!D93</f>
        <v>0</v>
      </c>
      <c r="F93" s="6">
        <f>Consumo_Medido!E93-Consumo_Faturado!E93</f>
        <v>0</v>
      </c>
      <c r="G93" s="6">
        <f>Consumo_Medido!F93-Consumo_Faturado!F93</f>
        <v>0</v>
      </c>
      <c r="H93" s="6">
        <f>Consumo_Medido!G93-Consumo_Faturado!G93</f>
        <v>0</v>
      </c>
      <c r="I93" s="6">
        <f>Consumo_Medido!H93-Consumo_Faturado!H93</f>
        <v>0</v>
      </c>
      <c r="J93" s="6">
        <f>Consumo_Medido!I93-Consumo_Faturado!I93</f>
        <v>0</v>
      </c>
      <c r="K93" s="6">
        <f>Consumo_Medido!J93-Consumo_Faturado!J93</f>
        <v>0</v>
      </c>
      <c r="L93" s="6">
        <f>Consumo_Medido!K93-Consumo_Faturado!K93</f>
        <v>0</v>
      </c>
      <c r="M93" s="6">
        <f>Consumo_Medido!L93-Consumo_Faturado!L93</f>
        <v>0</v>
      </c>
      <c r="N93" s="6">
        <f>Consumo_Medido!M93-Consumo_Faturado!M93</f>
        <v>0</v>
      </c>
      <c r="O93" s="6">
        <f>Consumo_Medido!N93-Consumo_Faturado!N93</f>
        <v>0</v>
      </c>
    </row>
    <row r="94" spans="1:15" hidden="1" x14ac:dyDescent="0.3">
      <c r="A94" s="1" t="s">
        <v>108</v>
      </c>
      <c r="B94" s="1" t="s">
        <v>14</v>
      </c>
      <c r="C94" s="1"/>
      <c r="D94" s="6">
        <f>Consumo_Medido!C94-Consumo_Faturado!C94</f>
        <v>0</v>
      </c>
      <c r="E94" s="6">
        <f>Consumo_Medido!D94-Consumo_Faturado!D94</f>
        <v>0</v>
      </c>
      <c r="F94" s="6">
        <f>Consumo_Medido!E94-Consumo_Faturado!E94</f>
        <v>0</v>
      </c>
      <c r="G94" s="6">
        <f>Consumo_Medido!F94-Consumo_Faturado!F94</f>
        <v>0</v>
      </c>
      <c r="H94" s="6">
        <f>Consumo_Medido!G94-Consumo_Faturado!G94</f>
        <v>0</v>
      </c>
      <c r="I94" s="6">
        <f>Consumo_Medido!H94-Consumo_Faturado!H94</f>
        <v>0</v>
      </c>
      <c r="J94" s="6">
        <f>Consumo_Medido!I94-Consumo_Faturado!I94</f>
        <v>0</v>
      </c>
      <c r="K94" s="6">
        <f>Consumo_Medido!J94-Consumo_Faturado!J94</f>
        <v>0</v>
      </c>
      <c r="L94" s="6">
        <f>Consumo_Medido!K94-Consumo_Faturado!K94</f>
        <v>0</v>
      </c>
      <c r="M94" s="6">
        <f>Consumo_Medido!L94-Consumo_Faturado!L94</f>
        <v>0</v>
      </c>
      <c r="N94" s="6">
        <f>Consumo_Medido!M94-Consumo_Faturado!M94</f>
        <v>0</v>
      </c>
      <c r="O94" s="6">
        <f>Consumo_Medido!N94-Consumo_Faturado!N94</f>
        <v>0</v>
      </c>
    </row>
    <row r="95" spans="1:15" hidden="1" x14ac:dyDescent="0.3">
      <c r="A95" s="1" t="s">
        <v>109</v>
      </c>
      <c r="B95" s="1" t="s">
        <v>14</v>
      </c>
      <c r="C95" s="1"/>
      <c r="D95" s="6">
        <f>Consumo_Medido!C95-Consumo_Faturado!C95</f>
        <v>0</v>
      </c>
      <c r="E95" s="6">
        <f>Consumo_Medido!D95-Consumo_Faturado!D95</f>
        <v>0</v>
      </c>
      <c r="F95" s="6">
        <f>Consumo_Medido!E95-Consumo_Faturado!E95</f>
        <v>0</v>
      </c>
      <c r="G95" s="6">
        <f>Consumo_Medido!F95-Consumo_Faturado!F95</f>
        <v>0</v>
      </c>
      <c r="H95" s="6">
        <f>Consumo_Medido!G95-Consumo_Faturado!G95</f>
        <v>0</v>
      </c>
      <c r="I95" s="6">
        <f>Consumo_Medido!H95-Consumo_Faturado!H95</f>
        <v>0</v>
      </c>
      <c r="J95" s="6">
        <f>Consumo_Medido!I95-Consumo_Faturado!I95</f>
        <v>0</v>
      </c>
      <c r="K95" s="6">
        <f>Consumo_Medido!J95-Consumo_Faturado!J95</f>
        <v>0</v>
      </c>
      <c r="L95" s="6">
        <f>Consumo_Medido!K95-Consumo_Faturado!K95</f>
        <v>0</v>
      </c>
      <c r="M95" s="6">
        <f>Consumo_Medido!L95-Consumo_Faturado!L95</f>
        <v>0</v>
      </c>
      <c r="N95" s="6">
        <f>Consumo_Medido!M95-Consumo_Faturado!M95</f>
        <v>0</v>
      </c>
      <c r="O95" s="6">
        <f>Consumo_Medido!N95-Consumo_Faturado!N95</f>
        <v>0</v>
      </c>
    </row>
    <row r="96" spans="1:15" hidden="1" x14ac:dyDescent="0.3">
      <c r="A96" s="1" t="s">
        <v>110</v>
      </c>
      <c r="B96" s="1" t="s">
        <v>75</v>
      </c>
      <c r="C96" s="1"/>
      <c r="D96" s="6">
        <f>Consumo_Medido!C96-Consumo_Faturado!C96</f>
        <v>0</v>
      </c>
      <c r="E96" s="6">
        <f>Consumo_Medido!D96-Consumo_Faturado!D96</f>
        <v>0</v>
      </c>
      <c r="F96" s="6">
        <f>Consumo_Medido!E96-Consumo_Faturado!E96</f>
        <v>0</v>
      </c>
      <c r="G96" s="6">
        <f>Consumo_Medido!F96-Consumo_Faturado!F96</f>
        <v>0</v>
      </c>
      <c r="H96" s="6">
        <f>Consumo_Medido!G96-Consumo_Faturado!G96</f>
        <v>0</v>
      </c>
      <c r="I96" s="6">
        <f>Consumo_Medido!H96-Consumo_Faturado!H96</f>
        <v>0</v>
      </c>
      <c r="J96" s="6">
        <f>Consumo_Medido!I96-Consumo_Faturado!I96</f>
        <v>0</v>
      </c>
      <c r="K96" s="6">
        <f>Consumo_Medido!J96-Consumo_Faturado!J96</f>
        <v>0</v>
      </c>
      <c r="L96" s="6">
        <f>Consumo_Medido!K96-Consumo_Faturado!K96</f>
        <v>0</v>
      </c>
      <c r="M96" s="6">
        <f>Consumo_Medido!L96-Consumo_Faturado!L96</f>
        <v>0</v>
      </c>
      <c r="N96" s="6">
        <f>Consumo_Medido!M96-Consumo_Faturado!M96</f>
        <v>0</v>
      </c>
      <c r="O96" s="6">
        <f>Consumo_Medido!N96-Consumo_Faturado!N96</f>
        <v>0</v>
      </c>
    </row>
    <row r="97" spans="1:15" hidden="1" x14ac:dyDescent="0.3">
      <c r="A97" s="1" t="s">
        <v>111</v>
      </c>
      <c r="B97" s="1" t="s">
        <v>14</v>
      </c>
      <c r="C97" s="1"/>
      <c r="D97" s="6">
        <f>Consumo_Medido!C97-Consumo_Faturado!C97</f>
        <v>0</v>
      </c>
      <c r="E97" s="6">
        <f>Consumo_Medido!D97-Consumo_Faturado!D97</f>
        <v>0</v>
      </c>
      <c r="F97" s="6">
        <f>Consumo_Medido!E97-Consumo_Faturado!E97</f>
        <v>0</v>
      </c>
      <c r="G97" s="6">
        <f>Consumo_Medido!F97-Consumo_Faturado!F97</f>
        <v>0</v>
      </c>
      <c r="H97" s="6">
        <f>Consumo_Medido!G97-Consumo_Faturado!G97</f>
        <v>0</v>
      </c>
      <c r="I97" s="6">
        <f>Consumo_Medido!H97-Consumo_Faturado!H97</f>
        <v>0</v>
      </c>
      <c r="J97" s="6">
        <f>Consumo_Medido!I97-Consumo_Faturado!I97</f>
        <v>0</v>
      </c>
      <c r="K97" s="6">
        <f>Consumo_Medido!J97-Consumo_Faturado!J97</f>
        <v>0</v>
      </c>
      <c r="L97" s="6">
        <f>Consumo_Medido!K97-Consumo_Faturado!K97</f>
        <v>0</v>
      </c>
      <c r="M97" s="6">
        <f>Consumo_Medido!L97-Consumo_Faturado!L97</f>
        <v>0</v>
      </c>
      <c r="N97" s="6">
        <f>Consumo_Medido!M97-Consumo_Faturado!M97</f>
        <v>0</v>
      </c>
      <c r="O97" s="6">
        <f>Consumo_Medido!N97-Consumo_Faturado!N97</f>
        <v>0</v>
      </c>
    </row>
    <row r="98" spans="1:15" hidden="1" x14ac:dyDescent="0.3">
      <c r="A98" s="1" t="s">
        <v>112</v>
      </c>
      <c r="B98" s="1" t="s">
        <v>14</v>
      </c>
      <c r="C98" s="1"/>
      <c r="D98" s="6">
        <f>Consumo_Medido!C98-Consumo_Faturado!C98</f>
        <v>0</v>
      </c>
      <c r="E98" s="6">
        <f>Consumo_Medido!D98-Consumo_Faturado!D98</f>
        <v>-30</v>
      </c>
      <c r="F98" s="6">
        <f>Consumo_Medido!E98-Consumo_Faturado!E98</f>
        <v>-30</v>
      </c>
      <c r="G98" s="6">
        <f>Consumo_Medido!F98-Consumo_Faturado!F98</f>
        <v>-30</v>
      </c>
      <c r="H98" s="6">
        <f>Consumo_Medido!G98-Consumo_Faturado!G98</f>
        <v>-30</v>
      </c>
      <c r="I98" s="6">
        <f>Consumo_Medido!H98-Consumo_Faturado!H98</f>
        <v>-30</v>
      </c>
      <c r="J98" s="6">
        <f>Consumo_Medido!I98-Consumo_Faturado!I98</f>
        <v>-30</v>
      </c>
      <c r="K98" s="6">
        <f>Consumo_Medido!J98-Consumo_Faturado!J98</f>
        <v>-30</v>
      </c>
      <c r="L98" s="6">
        <f>Consumo_Medido!K98-Consumo_Faturado!K98</f>
        <v>-30</v>
      </c>
      <c r="M98" s="6">
        <f>Consumo_Medido!L98-Consumo_Faturado!L98</f>
        <v>-30</v>
      </c>
      <c r="N98" s="6">
        <f>Consumo_Medido!M98-Consumo_Faturado!M98</f>
        <v>-30</v>
      </c>
      <c r="O98" s="6">
        <f>Consumo_Medido!N98-Consumo_Faturado!N98</f>
        <v>-30</v>
      </c>
    </row>
    <row r="99" spans="1:15" x14ac:dyDescent="0.3">
      <c r="A99" s="1" t="s">
        <v>113</v>
      </c>
      <c r="B99" s="3" t="s">
        <v>16</v>
      </c>
      <c r="C99" s="7"/>
      <c r="D99" s="6">
        <f>Consumo_Medido!C99-Consumo_Faturado!C99</f>
        <v>0</v>
      </c>
      <c r="E99" s="6">
        <f>Consumo_Medido!D99-Consumo_Faturado!D99</f>
        <v>-285954</v>
      </c>
      <c r="F99" s="6">
        <f>Consumo_Medido!E99-Consumo_Faturado!E99</f>
        <v>-258183</v>
      </c>
      <c r="G99" s="6">
        <f>Consumo_Medido!F99-Consumo_Faturado!F99</f>
        <v>-285892</v>
      </c>
      <c r="H99" s="6">
        <f>Consumo_Medido!G99-Consumo_Faturado!G99</f>
        <v>-276647</v>
      </c>
      <c r="I99" s="6">
        <f>Consumo_Medido!H99-Consumo_Faturado!H99</f>
        <v>-285917</v>
      </c>
      <c r="J99" s="6">
        <f>Consumo_Medido!I99-Consumo_Faturado!I99</f>
        <v>-276652</v>
      </c>
      <c r="K99" s="6">
        <f>Consumo_Medido!J99-Consumo_Faturado!J99</f>
        <v>-285762</v>
      </c>
      <c r="L99" s="6">
        <f>Consumo_Medido!K99-Consumo_Faturado!K99</f>
        <v>-285946</v>
      </c>
      <c r="M99" s="6">
        <f>Consumo_Medido!L99-Consumo_Faturado!L99</f>
        <v>-276640</v>
      </c>
      <c r="N99" s="6">
        <f>Consumo_Medido!M99-Consumo_Faturado!M99</f>
        <v>-276620</v>
      </c>
      <c r="O99" s="6">
        <f>Consumo_Medido!N99-Consumo_Faturado!N99</f>
        <v>-285748</v>
      </c>
    </row>
    <row r="100" spans="1:15" hidden="1" x14ac:dyDescent="0.3">
      <c r="A100" s="1" t="s">
        <v>114</v>
      </c>
      <c r="B100" s="1" t="s">
        <v>14</v>
      </c>
      <c r="C100" s="1"/>
      <c r="D100" s="6">
        <f>Consumo_Medido!C100-Consumo_Faturado!C100</f>
        <v>0</v>
      </c>
      <c r="E100" s="6">
        <f>Consumo_Medido!D100-Consumo_Faturado!D100</f>
        <v>0</v>
      </c>
      <c r="F100" s="6">
        <f>Consumo_Medido!E100-Consumo_Faturado!E100</f>
        <v>0</v>
      </c>
      <c r="G100" s="6">
        <f>Consumo_Medido!F100-Consumo_Faturado!F100</f>
        <v>0</v>
      </c>
      <c r="H100" s="6">
        <f>Consumo_Medido!G100-Consumo_Faturado!G100</f>
        <v>0</v>
      </c>
      <c r="I100" s="6">
        <f>Consumo_Medido!H100-Consumo_Faturado!H100</f>
        <v>0</v>
      </c>
      <c r="J100" s="6">
        <f>Consumo_Medido!I100-Consumo_Faturado!I100</f>
        <v>0</v>
      </c>
      <c r="K100" s="6">
        <f>Consumo_Medido!J100-Consumo_Faturado!J100</f>
        <v>0</v>
      </c>
      <c r="L100" s="6">
        <f>Consumo_Medido!K100-Consumo_Faturado!K100</f>
        <v>0</v>
      </c>
      <c r="M100" s="6">
        <f>Consumo_Medido!L100-Consumo_Faturado!L100</f>
        <v>0</v>
      </c>
      <c r="N100" s="6">
        <f>Consumo_Medido!M100-Consumo_Faturado!M100</f>
        <v>0</v>
      </c>
      <c r="O100" s="6">
        <f>Consumo_Medido!N100-Consumo_Faturado!N100</f>
        <v>0</v>
      </c>
    </row>
    <row r="101" spans="1:15" hidden="1" x14ac:dyDescent="0.3">
      <c r="A101" s="1" t="s">
        <v>115</v>
      </c>
      <c r="B101" s="1" t="s">
        <v>14</v>
      </c>
      <c r="C101" s="1"/>
      <c r="D101" s="6">
        <f>Consumo_Medido!C101-Consumo_Faturado!C101</f>
        <v>0</v>
      </c>
      <c r="E101" s="6">
        <f>Consumo_Medido!D101-Consumo_Faturado!D101</f>
        <v>0</v>
      </c>
      <c r="F101" s="6">
        <f>Consumo_Medido!E101-Consumo_Faturado!E101</f>
        <v>0</v>
      </c>
      <c r="G101" s="6">
        <f>Consumo_Medido!F101-Consumo_Faturado!F101</f>
        <v>0</v>
      </c>
      <c r="H101" s="6">
        <f>Consumo_Medido!G101-Consumo_Faturado!G101</f>
        <v>0</v>
      </c>
      <c r="I101" s="6">
        <f>Consumo_Medido!H101-Consumo_Faturado!H101</f>
        <v>0</v>
      </c>
      <c r="J101" s="6">
        <f>Consumo_Medido!I101-Consumo_Faturado!I101</f>
        <v>0</v>
      </c>
      <c r="K101" s="6">
        <f>Consumo_Medido!J101-Consumo_Faturado!J101</f>
        <v>0</v>
      </c>
      <c r="L101" s="6">
        <f>Consumo_Medido!K101-Consumo_Faturado!K101</f>
        <v>0</v>
      </c>
      <c r="M101" s="6">
        <f>Consumo_Medido!L101-Consumo_Faturado!L101</f>
        <v>0</v>
      </c>
      <c r="N101" s="6">
        <f>Consumo_Medido!M101-Consumo_Faturado!M101</f>
        <v>0</v>
      </c>
      <c r="O101" s="6">
        <f>Consumo_Medido!N101-Consumo_Faturado!N101</f>
        <v>0</v>
      </c>
    </row>
    <row r="102" spans="1:15" hidden="1" x14ac:dyDescent="0.3">
      <c r="A102" s="1" t="s">
        <v>116</v>
      </c>
      <c r="B102" s="1" t="s">
        <v>14</v>
      </c>
      <c r="C102" s="1"/>
      <c r="D102" s="6">
        <f>Consumo_Medido!C102-Consumo_Faturado!C102</f>
        <v>0</v>
      </c>
      <c r="E102" s="6">
        <f>Consumo_Medido!D102-Consumo_Faturado!D102</f>
        <v>0</v>
      </c>
      <c r="F102" s="6">
        <f>Consumo_Medido!E102-Consumo_Faturado!E102</f>
        <v>0</v>
      </c>
      <c r="G102" s="6">
        <f>Consumo_Medido!F102-Consumo_Faturado!F102</f>
        <v>0</v>
      </c>
      <c r="H102" s="6">
        <f>Consumo_Medido!G102-Consumo_Faturado!G102</f>
        <v>0</v>
      </c>
      <c r="I102" s="6">
        <f>Consumo_Medido!H102-Consumo_Faturado!H102</f>
        <v>-1</v>
      </c>
      <c r="J102" s="6">
        <f>Consumo_Medido!I102-Consumo_Faturado!I102</f>
        <v>0</v>
      </c>
      <c r="K102" s="6">
        <f>Consumo_Medido!J102-Consumo_Faturado!J102</f>
        <v>-27</v>
      </c>
      <c r="L102" s="6">
        <f>Consumo_Medido!K102-Consumo_Faturado!K102</f>
        <v>-20</v>
      </c>
      <c r="M102" s="6">
        <f>Consumo_Medido!L102-Consumo_Faturado!L102</f>
        <v>-20</v>
      </c>
      <c r="N102" s="6">
        <f>Consumo_Medido!M102-Consumo_Faturado!M102</f>
        <v>-30</v>
      </c>
      <c r="O102" s="6">
        <f>Consumo_Medido!N102-Consumo_Faturado!N102</f>
        <v>-30</v>
      </c>
    </row>
    <row r="103" spans="1:15" hidden="1" x14ac:dyDescent="0.3">
      <c r="A103" s="1" t="s">
        <v>117</v>
      </c>
      <c r="B103" s="1" t="s">
        <v>14</v>
      </c>
      <c r="C103" s="1"/>
      <c r="D103" s="6">
        <f>Consumo_Medido!C103-Consumo_Faturado!C103</f>
        <v>0</v>
      </c>
      <c r="E103" s="6">
        <f>Consumo_Medido!D103-Consumo_Faturado!D103</f>
        <v>0</v>
      </c>
      <c r="F103" s="6">
        <f>Consumo_Medido!E103-Consumo_Faturado!E103</f>
        <v>0</v>
      </c>
      <c r="G103" s="6">
        <f>Consumo_Medido!F103-Consumo_Faturado!F103</f>
        <v>0</v>
      </c>
      <c r="H103" s="6">
        <f>Consumo_Medido!G103-Consumo_Faturado!G103</f>
        <v>0</v>
      </c>
      <c r="I103" s="6">
        <f>Consumo_Medido!H103-Consumo_Faturado!H103</f>
        <v>0</v>
      </c>
      <c r="J103" s="6">
        <f>Consumo_Medido!I103-Consumo_Faturado!I103</f>
        <v>0</v>
      </c>
      <c r="K103" s="6">
        <f>Consumo_Medido!J103-Consumo_Faturado!J103</f>
        <v>0</v>
      </c>
      <c r="L103" s="6">
        <f>Consumo_Medido!K103-Consumo_Faturado!K103</f>
        <v>0</v>
      </c>
      <c r="M103" s="6">
        <f>Consumo_Medido!L103-Consumo_Faturado!L103</f>
        <v>0</v>
      </c>
      <c r="N103" s="6">
        <f>Consumo_Medido!M103-Consumo_Faturado!M103</f>
        <v>0</v>
      </c>
      <c r="O103" s="6">
        <f>Consumo_Medido!N103-Consumo_Faturado!N103</f>
        <v>0</v>
      </c>
    </row>
    <row r="104" spans="1:15" hidden="1" x14ac:dyDescent="0.3">
      <c r="A104" s="1" t="s">
        <v>118</v>
      </c>
      <c r="B104" s="1" t="s">
        <v>14</v>
      </c>
      <c r="C104" s="1"/>
      <c r="D104" s="6">
        <f>Consumo_Medido!C104-Consumo_Faturado!C104</f>
        <v>0</v>
      </c>
      <c r="E104" s="6">
        <f>Consumo_Medido!D104-Consumo_Faturado!D104</f>
        <v>-30</v>
      </c>
      <c r="F104" s="6">
        <f>Consumo_Medido!E104-Consumo_Faturado!E104</f>
        <v>-30</v>
      </c>
      <c r="G104" s="6">
        <f>Consumo_Medido!F104-Consumo_Faturado!F104</f>
        <v>-30</v>
      </c>
      <c r="H104" s="6">
        <f>Consumo_Medido!G104-Consumo_Faturado!G104</f>
        <v>-30</v>
      </c>
      <c r="I104" s="6">
        <f>Consumo_Medido!H104-Consumo_Faturado!H104</f>
        <v>-30</v>
      </c>
      <c r="J104" s="6">
        <f>Consumo_Medido!I104-Consumo_Faturado!I104</f>
        <v>-30</v>
      </c>
      <c r="K104" s="6">
        <f>Consumo_Medido!J104-Consumo_Faturado!J104</f>
        <v>-30</v>
      </c>
      <c r="L104" s="6">
        <f>Consumo_Medido!K104-Consumo_Faturado!K104</f>
        <v>-30</v>
      </c>
      <c r="M104" s="6">
        <f>Consumo_Medido!L104-Consumo_Faturado!L104</f>
        <v>-30</v>
      </c>
      <c r="N104" s="6">
        <f>Consumo_Medido!M104-Consumo_Faturado!M104</f>
        <v>-30</v>
      </c>
      <c r="O104" s="6">
        <f>Consumo_Medido!N104-Consumo_Faturado!N104</f>
        <v>-30</v>
      </c>
    </row>
    <row r="105" spans="1:15" hidden="1" x14ac:dyDescent="0.3">
      <c r="A105" s="1" t="s">
        <v>119</v>
      </c>
      <c r="B105" s="1" t="s">
        <v>14</v>
      </c>
      <c r="C105" s="1"/>
      <c r="D105" s="6">
        <f>Consumo_Medido!C105-Consumo_Faturado!C105</f>
        <v>0</v>
      </c>
      <c r="E105" s="6">
        <f>Consumo_Medido!D105-Consumo_Faturado!D105</f>
        <v>0</v>
      </c>
      <c r="F105" s="6">
        <f>Consumo_Medido!E105-Consumo_Faturado!E105</f>
        <v>0</v>
      </c>
      <c r="G105" s="6">
        <f>Consumo_Medido!F105-Consumo_Faturado!F105</f>
        <v>0</v>
      </c>
      <c r="H105" s="6">
        <f>Consumo_Medido!G105-Consumo_Faturado!G105</f>
        <v>-21</v>
      </c>
      <c r="I105" s="6">
        <f>Consumo_Medido!H105-Consumo_Faturado!H105</f>
        <v>-29</v>
      </c>
      <c r="J105" s="6">
        <f>Consumo_Medido!I105-Consumo_Faturado!I105</f>
        <v>-24</v>
      </c>
      <c r="K105" s="6">
        <f>Consumo_Medido!J105-Consumo_Faturado!J105</f>
        <v>-29</v>
      </c>
      <c r="L105" s="6">
        <f>Consumo_Medido!K105-Consumo_Faturado!K105</f>
        <v>-30</v>
      </c>
      <c r="M105" s="6">
        <f>Consumo_Medido!L105-Consumo_Faturado!L105</f>
        <v>-30</v>
      </c>
      <c r="N105" s="6">
        <f>Consumo_Medido!M105-Consumo_Faturado!M105</f>
        <v>-30</v>
      </c>
      <c r="O105" s="6">
        <f>Consumo_Medido!N105-Consumo_Faturado!N105</f>
        <v>-30</v>
      </c>
    </row>
    <row r="106" spans="1:15" hidden="1" x14ac:dyDescent="0.3">
      <c r="A106" s="1" t="s">
        <v>120</v>
      </c>
      <c r="B106" s="1" t="s">
        <v>14</v>
      </c>
      <c r="C106" s="1"/>
      <c r="D106" s="6">
        <f>Consumo_Medido!C106-Consumo_Faturado!C106</f>
        <v>0</v>
      </c>
      <c r="E106" s="6">
        <f>Consumo_Medido!D106-Consumo_Faturado!D106</f>
        <v>0</v>
      </c>
      <c r="F106" s="6">
        <f>Consumo_Medido!E106-Consumo_Faturado!E106</f>
        <v>0</v>
      </c>
      <c r="G106" s="6">
        <f>Consumo_Medido!F106-Consumo_Faturado!F106</f>
        <v>0</v>
      </c>
      <c r="H106" s="6">
        <f>Consumo_Medido!G106-Consumo_Faturado!G106</f>
        <v>0</v>
      </c>
      <c r="I106" s="6">
        <f>Consumo_Medido!H106-Consumo_Faturado!H106</f>
        <v>0</v>
      </c>
      <c r="J106" s="6">
        <f>Consumo_Medido!I106-Consumo_Faturado!I106</f>
        <v>0</v>
      </c>
      <c r="K106" s="6">
        <f>Consumo_Medido!J106-Consumo_Faturado!J106</f>
        <v>0</v>
      </c>
      <c r="L106" s="6">
        <f>Consumo_Medido!K106-Consumo_Faturado!K106</f>
        <v>0</v>
      </c>
      <c r="M106" s="6">
        <f>Consumo_Medido!L106-Consumo_Faturado!L106</f>
        <v>0</v>
      </c>
      <c r="N106" s="6">
        <f>Consumo_Medido!M106-Consumo_Faturado!M106</f>
        <v>0</v>
      </c>
      <c r="O106" s="6">
        <f>Consumo_Medido!N106-Consumo_Faturado!N106</f>
        <v>0</v>
      </c>
    </row>
    <row r="107" spans="1:15" hidden="1" x14ac:dyDescent="0.3">
      <c r="A107" s="1" t="s">
        <v>121</v>
      </c>
      <c r="B107" s="1" t="s">
        <v>14</v>
      </c>
      <c r="C107" s="1"/>
      <c r="D107" s="6">
        <f>Consumo_Medido!C107-Consumo_Faturado!C107</f>
        <v>0</v>
      </c>
      <c r="E107" s="6">
        <f>Consumo_Medido!D107-Consumo_Faturado!D107</f>
        <v>0</v>
      </c>
      <c r="F107" s="6">
        <f>Consumo_Medido!E107-Consumo_Faturado!E107</f>
        <v>0</v>
      </c>
      <c r="G107" s="6">
        <f>Consumo_Medido!F107-Consumo_Faturado!F107</f>
        <v>0</v>
      </c>
      <c r="H107" s="6">
        <f>Consumo_Medido!G107-Consumo_Faturado!G107</f>
        <v>0</v>
      </c>
      <c r="I107" s="6">
        <f>Consumo_Medido!H107-Consumo_Faturado!H107</f>
        <v>-30</v>
      </c>
      <c r="J107" s="6">
        <f>Consumo_Medido!I107-Consumo_Faturado!I107</f>
        <v>0</v>
      </c>
      <c r="K107" s="6">
        <f>Consumo_Medido!J107-Consumo_Faturado!J107</f>
        <v>0</v>
      </c>
      <c r="L107" s="6">
        <f>Consumo_Medido!K107-Consumo_Faturado!K107</f>
        <v>0</v>
      </c>
      <c r="M107" s="6">
        <f>Consumo_Medido!L107-Consumo_Faturado!L107</f>
        <v>0</v>
      </c>
      <c r="N107" s="6">
        <f>Consumo_Medido!M107-Consumo_Faturado!M107</f>
        <v>0</v>
      </c>
      <c r="O107" s="6">
        <f>Consumo_Medido!N107-Consumo_Faturado!N107</f>
        <v>0</v>
      </c>
    </row>
    <row r="108" spans="1:15" hidden="1" x14ac:dyDescent="0.3">
      <c r="A108" s="1" t="s">
        <v>122</v>
      </c>
      <c r="B108" s="3" t="s">
        <v>16</v>
      </c>
      <c r="C108" s="7" t="str">
        <f t="shared" ref="C108:C112" si="4">IF(COUNTIF(D108:O108,"&lt;&gt;0")&gt;0,"Reclamar","Só zeros")</f>
        <v>Reclamar</v>
      </c>
      <c r="D108" s="6">
        <f>Consumo_Medido!C108-Consumo_Faturado!C108</f>
        <v>0</v>
      </c>
      <c r="E108" s="6">
        <f>Consumo_Medido!D108-Consumo_Faturado!D108</f>
        <v>-30</v>
      </c>
      <c r="F108" s="6">
        <f>Consumo_Medido!E108-Consumo_Faturado!E108</f>
        <v>-30</v>
      </c>
      <c r="G108" s="6">
        <f>Consumo_Medido!F108-Consumo_Faturado!F108</f>
        <v>-30</v>
      </c>
      <c r="H108" s="6">
        <f>Consumo_Medido!G108-Consumo_Faturado!G108</f>
        <v>-30</v>
      </c>
      <c r="I108" s="6">
        <f>Consumo_Medido!H108-Consumo_Faturado!H108</f>
        <v>-30</v>
      </c>
      <c r="J108" s="6">
        <f>Consumo_Medido!I108-Consumo_Faturado!I108</f>
        <v>-30</v>
      </c>
      <c r="K108" s="6">
        <f>Consumo_Medido!J108-Consumo_Faturado!J108</f>
        <v>-30</v>
      </c>
      <c r="L108" s="6">
        <f>Consumo_Medido!K108-Consumo_Faturado!K108</f>
        <v>-30</v>
      </c>
      <c r="M108" s="6">
        <f>Consumo_Medido!L108-Consumo_Faturado!L108</f>
        <v>-30</v>
      </c>
      <c r="N108" s="6">
        <f>Consumo_Medido!M108-Consumo_Faturado!M108</f>
        <v>-30</v>
      </c>
      <c r="O108" s="6">
        <f>Consumo_Medido!N108-Consumo_Faturado!N108</f>
        <v>-30</v>
      </c>
    </row>
    <row r="109" spans="1:15" hidden="1" x14ac:dyDescent="0.3">
      <c r="A109" s="1" t="s">
        <v>123</v>
      </c>
      <c r="B109" s="3" t="s">
        <v>16</v>
      </c>
      <c r="C109" s="7" t="str">
        <f t="shared" si="4"/>
        <v>Reclamar</v>
      </c>
      <c r="D109" s="6">
        <f>Consumo_Medido!C109-Consumo_Faturado!C109</f>
        <v>0</v>
      </c>
      <c r="E109" s="6">
        <f>Consumo_Medido!D109-Consumo_Faturado!D109</f>
        <v>-30</v>
      </c>
      <c r="F109" s="6">
        <f>Consumo_Medido!E109-Consumo_Faturado!E109</f>
        <v>-30</v>
      </c>
      <c r="G109" s="6">
        <f>Consumo_Medido!F109-Consumo_Faturado!F109</f>
        <v>-30</v>
      </c>
      <c r="H109" s="6">
        <f>Consumo_Medido!G109-Consumo_Faturado!G109</f>
        <v>-30</v>
      </c>
      <c r="I109" s="6">
        <f>Consumo_Medido!H109-Consumo_Faturado!H109</f>
        <v>-30</v>
      </c>
      <c r="J109" s="6">
        <f>Consumo_Medido!I109-Consumo_Faturado!I109</f>
        <v>-30</v>
      </c>
      <c r="K109" s="6">
        <f>Consumo_Medido!J109-Consumo_Faturado!J109</f>
        <v>-30</v>
      </c>
      <c r="L109" s="6">
        <f>Consumo_Medido!K109-Consumo_Faturado!K109</f>
        <v>-30</v>
      </c>
      <c r="M109" s="6">
        <f>Consumo_Medido!L109-Consumo_Faturado!L109</f>
        <v>-30</v>
      </c>
      <c r="N109" s="6">
        <f>Consumo_Medido!M109-Consumo_Faturado!M109</f>
        <v>-30</v>
      </c>
      <c r="O109" s="6">
        <f>Consumo_Medido!N109-Consumo_Faturado!N109</f>
        <v>-30</v>
      </c>
    </row>
    <row r="110" spans="1:15" hidden="1" x14ac:dyDescent="0.3">
      <c r="A110" s="1" t="s">
        <v>124</v>
      </c>
      <c r="B110" s="3" t="s">
        <v>16</v>
      </c>
      <c r="C110" s="7" t="str">
        <f t="shared" si="4"/>
        <v>Reclamar</v>
      </c>
      <c r="D110" s="6">
        <f>Consumo_Medido!C110-Consumo_Faturado!C110</f>
        <v>0</v>
      </c>
      <c r="E110" s="6">
        <f>Consumo_Medido!D110-Consumo_Faturado!D110</f>
        <v>-9</v>
      </c>
      <c r="F110" s="6">
        <f>Consumo_Medido!E110-Consumo_Faturado!E110</f>
        <v>-9</v>
      </c>
      <c r="G110" s="6">
        <f>Consumo_Medido!F110-Consumo_Faturado!F110</f>
        <v>-9</v>
      </c>
      <c r="H110" s="6">
        <f>Consumo_Medido!G110-Consumo_Faturado!G110</f>
        <v>-9</v>
      </c>
      <c r="I110" s="6">
        <f>Consumo_Medido!H110-Consumo_Faturado!H110</f>
        <v>-9</v>
      </c>
      <c r="J110" s="6">
        <f>Consumo_Medido!I110-Consumo_Faturado!I110</f>
        <v>-9</v>
      </c>
      <c r="K110" s="6">
        <f>Consumo_Medido!J110-Consumo_Faturado!J110</f>
        <v>-9</v>
      </c>
      <c r="L110" s="6">
        <f>Consumo_Medido!K110-Consumo_Faturado!K110</f>
        <v>-9</v>
      </c>
      <c r="M110" s="6">
        <f>Consumo_Medido!L110-Consumo_Faturado!L110</f>
        <v>-9</v>
      </c>
      <c r="N110" s="6">
        <f>Consumo_Medido!M110-Consumo_Faturado!M110</f>
        <v>-9</v>
      </c>
      <c r="O110" s="6">
        <f>Consumo_Medido!N110-Consumo_Faturado!N110</f>
        <v>-9</v>
      </c>
    </row>
    <row r="111" spans="1:15" hidden="1" x14ac:dyDescent="0.3">
      <c r="A111" s="1" t="s">
        <v>125</v>
      </c>
      <c r="B111" s="3" t="s">
        <v>16</v>
      </c>
      <c r="C111" s="7" t="str">
        <f t="shared" si="4"/>
        <v>Reclamar</v>
      </c>
      <c r="D111" s="6">
        <f>Consumo_Medido!C111-Consumo_Faturado!C111</f>
        <v>0</v>
      </c>
      <c r="E111" s="6">
        <f>Consumo_Medido!D111-Consumo_Faturado!D111</f>
        <v>-9</v>
      </c>
      <c r="F111" s="6">
        <f>Consumo_Medido!E111-Consumo_Faturado!E111</f>
        <v>-9</v>
      </c>
      <c r="G111" s="6">
        <f>Consumo_Medido!F111-Consumo_Faturado!F111</f>
        <v>-9</v>
      </c>
      <c r="H111" s="6">
        <f>Consumo_Medido!G111-Consumo_Faturado!G111</f>
        <v>-9</v>
      </c>
      <c r="I111" s="6">
        <f>Consumo_Medido!H111-Consumo_Faturado!H111</f>
        <v>-9</v>
      </c>
      <c r="J111" s="6">
        <f>Consumo_Medido!I111-Consumo_Faturado!I111</f>
        <v>-9</v>
      </c>
      <c r="K111" s="6">
        <f>Consumo_Medido!J111-Consumo_Faturado!J111</f>
        <v>-9</v>
      </c>
      <c r="L111" s="6">
        <f>Consumo_Medido!K111-Consumo_Faturado!K111</f>
        <v>-9</v>
      </c>
      <c r="M111" s="6">
        <f>Consumo_Medido!L111-Consumo_Faturado!L111</f>
        <v>-9</v>
      </c>
      <c r="N111" s="6">
        <f>Consumo_Medido!M111-Consumo_Faturado!M111</f>
        <v>-9</v>
      </c>
      <c r="O111" s="6">
        <f>Consumo_Medido!N111-Consumo_Faturado!N111</f>
        <v>-9</v>
      </c>
    </row>
    <row r="112" spans="1:15" hidden="1" x14ac:dyDescent="0.3">
      <c r="A112" s="1" t="s">
        <v>126</v>
      </c>
      <c r="B112" s="3" t="s">
        <v>16</v>
      </c>
      <c r="C112" s="7" t="str">
        <f t="shared" si="4"/>
        <v>Reclamar</v>
      </c>
      <c r="D112" s="6">
        <f>Consumo_Medido!C112-Consumo_Faturado!C112</f>
        <v>0</v>
      </c>
      <c r="E112" s="6">
        <f>Consumo_Medido!D112-Consumo_Faturado!D112</f>
        <v>-30</v>
      </c>
      <c r="F112" s="6">
        <f>Consumo_Medido!E112-Consumo_Faturado!E112</f>
        <v>-30</v>
      </c>
      <c r="G112" s="6">
        <f>Consumo_Medido!F112-Consumo_Faturado!F112</f>
        <v>-30</v>
      </c>
      <c r="H112" s="6">
        <f>Consumo_Medido!G112-Consumo_Faturado!G112</f>
        <v>-30</v>
      </c>
      <c r="I112" s="6">
        <f>Consumo_Medido!H112-Consumo_Faturado!H112</f>
        <v>-30</v>
      </c>
      <c r="J112" s="6">
        <f>Consumo_Medido!I112-Consumo_Faturado!I112</f>
        <v>-30</v>
      </c>
      <c r="K112" s="6">
        <f>Consumo_Medido!J112-Consumo_Faturado!J112</f>
        <v>-30</v>
      </c>
      <c r="L112" s="6">
        <f>Consumo_Medido!K112-Consumo_Faturado!K112</f>
        <v>-30</v>
      </c>
      <c r="M112" s="6">
        <f>Consumo_Medido!L112-Consumo_Faturado!L112</f>
        <v>-30</v>
      </c>
      <c r="N112" s="6">
        <f>Consumo_Medido!M112-Consumo_Faturado!M112</f>
        <v>-30</v>
      </c>
      <c r="O112" s="6">
        <f>Consumo_Medido!N112-Consumo_Faturado!N112</f>
        <v>-30</v>
      </c>
    </row>
    <row r="113" spans="1:15" hidden="1" x14ac:dyDescent="0.3">
      <c r="A113" s="1" t="s">
        <v>127</v>
      </c>
      <c r="B113" s="1" t="s">
        <v>14</v>
      </c>
      <c r="C113" s="1"/>
      <c r="D113" s="6">
        <f>Consumo_Medido!C113-Consumo_Faturado!C113</f>
        <v>0</v>
      </c>
      <c r="E113" s="6">
        <f>Consumo_Medido!D113-Consumo_Faturado!D113</f>
        <v>0</v>
      </c>
      <c r="F113" s="6">
        <f>Consumo_Medido!E113-Consumo_Faturado!E113</f>
        <v>0</v>
      </c>
      <c r="G113" s="6">
        <f>Consumo_Medido!F113-Consumo_Faturado!F113</f>
        <v>0</v>
      </c>
      <c r="H113" s="6">
        <f>Consumo_Medido!G113-Consumo_Faturado!G113</f>
        <v>0</v>
      </c>
      <c r="I113" s="6">
        <f>Consumo_Medido!H113-Consumo_Faturado!H113</f>
        <v>0</v>
      </c>
      <c r="J113" s="6">
        <f>Consumo_Medido!I113-Consumo_Faturado!I113</f>
        <v>0</v>
      </c>
      <c r="K113" s="6">
        <f>Consumo_Medido!J113-Consumo_Faturado!J113</f>
        <v>0</v>
      </c>
      <c r="L113" s="6">
        <f>Consumo_Medido!K113-Consumo_Faturado!K113</f>
        <v>0</v>
      </c>
      <c r="M113" s="6">
        <f>Consumo_Medido!L113-Consumo_Faturado!L113</f>
        <v>0</v>
      </c>
      <c r="N113" s="6">
        <f>Consumo_Medido!M113-Consumo_Faturado!M113</f>
        <v>0</v>
      </c>
      <c r="O113" s="6">
        <f>Consumo_Medido!N113-Consumo_Faturado!N113</f>
        <v>0</v>
      </c>
    </row>
    <row r="114" spans="1:15" hidden="1" x14ac:dyDescent="0.3">
      <c r="A114" s="1" t="s">
        <v>128</v>
      </c>
      <c r="B114" s="1" t="s">
        <v>14</v>
      </c>
      <c r="C114" s="1"/>
      <c r="D114" s="6">
        <f>Consumo_Medido!C114-Consumo_Faturado!C114</f>
        <v>0</v>
      </c>
      <c r="E114" s="6">
        <f>Consumo_Medido!D114-Consumo_Faturado!D114</f>
        <v>0</v>
      </c>
      <c r="F114" s="6">
        <f>Consumo_Medido!E114-Consumo_Faturado!E114</f>
        <v>0</v>
      </c>
      <c r="G114" s="6">
        <f>Consumo_Medido!F114-Consumo_Faturado!F114</f>
        <v>0</v>
      </c>
      <c r="H114" s="6">
        <f>Consumo_Medido!G114-Consumo_Faturado!G114</f>
        <v>0</v>
      </c>
      <c r="I114" s="6">
        <f>Consumo_Medido!H114-Consumo_Faturado!H114</f>
        <v>0</v>
      </c>
      <c r="J114" s="6">
        <f>Consumo_Medido!I114-Consumo_Faturado!I114</f>
        <v>0</v>
      </c>
      <c r="K114" s="6">
        <f>Consumo_Medido!J114-Consumo_Faturado!J114</f>
        <v>0</v>
      </c>
      <c r="L114" s="6">
        <f>Consumo_Medido!K114-Consumo_Faturado!K114</f>
        <v>0</v>
      </c>
      <c r="M114" s="6">
        <f>Consumo_Medido!L114-Consumo_Faturado!L114</f>
        <v>0</v>
      </c>
      <c r="N114" s="6">
        <f>Consumo_Medido!M114-Consumo_Faturado!M114</f>
        <v>0</v>
      </c>
      <c r="O114" s="6">
        <f>Consumo_Medido!N114-Consumo_Faturado!N114</f>
        <v>0</v>
      </c>
    </row>
    <row r="115" spans="1:15" hidden="1" x14ac:dyDescent="0.3">
      <c r="A115" s="1" t="s">
        <v>129</v>
      </c>
      <c r="B115" s="1" t="s">
        <v>14</v>
      </c>
      <c r="C115" s="1"/>
      <c r="D115" s="6">
        <f>Consumo_Medido!C115-Consumo_Faturado!C115</f>
        <v>0</v>
      </c>
      <c r="E115" s="6">
        <f>Consumo_Medido!D115-Consumo_Faturado!D115</f>
        <v>-62</v>
      </c>
      <c r="F115" s="6">
        <f>Consumo_Medido!E115-Consumo_Faturado!E115</f>
        <v>-73</v>
      </c>
      <c r="G115" s="6">
        <f>Consumo_Medido!F115-Consumo_Faturado!F115</f>
        <v>-14</v>
      </c>
      <c r="H115" s="6">
        <f>Consumo_Medido!G115-Consumo_Faturado!G115</f>
        <v>0</v>
      </c>
      <c r="I115" s="6">
        <f>Consumo_Medido!H115-Consumo_Faturado!H115</f>
        <v>0</v>
      </c>
      <c r="J115" s="6">
        <f>Consumo_Medido!I115-Consumo_Faturado!I115</f>
        <v>0</v>
      </c>
      <c r="K115" s="6">
        <f>Consumo_Medido!J115-Consumo_Faturado!J115</f>
        <v>0</v>
      </c>
      <c r="L115" s="6">
        <f>Consumo_Medido!K115-Consumo_Faturado!K115</f>
        <v>-25</v>
      </c>
      <c r="M115" s="6">
        <f>Consumo_Medido!L115-Consumo_Faturado!L115</f>
        <v>0</v>
      </c>
      <c r="N115" s="6">
        <f>Consumo_Medido!M115-Consumo_Faturado!M115</f>
        <v>0</v>
      </c>
      <c r="O115" s="6">
        <f>Consumo_Medido!N115-Consumo_Faturado!N115</f>
        <v>0</v>
      </c>
    </row>
    <row r="116" spans="1:15" hidden="1" x14ac:dyDescent="0.3">
      <c r="A116" s="1" t="s">
        <v>130</v>
      </c>
      <c r="B116" s="1" t="s">
        <v>14</v>
      </c>
      <c r="C116" s="1"/>
      <c r="D116" s="6">
        <f>Consumo_Medido!C116-Consumo_Faturado!C116</f>
        <v>0</v>
      </c>
      <c r="E116" s="6">
        <f>Consumo_Medido!D116-Consumo_Faturado!D116</f>
        <v>0</v>
      </c>
      <c r="F116" s="6">
        <f>Consumo_Medido!E116-Consumo_Faturado!E116</f>
        <v>0</v>
      </c>
      <c r="G116" s="6">
        <f>Consumo_Medido!F116-Consumo_Faturado!F116</f>
        <v>0</v>
      </c>
      <c r="H116" s="6">
        <f>Consumo_Medido!G116-Consumo_Faturado!G116</f>
        <v>0</v>
      </c>
      <c r="I116" s="6">
        <f>Consumo_Medido!H116-Consumo_Faturado!H116</f>
        <v>0</v>
      </c>
      <c r="J116" s="6">
        <f>Consumo_Medido!I116-Consumo_Faturado!I116</f>
        <v>0</v>
      </c>
      <c r="K116" s="6">
        <f>Consumo_Medido!J116-Consumo_Faturado!J116</f>
        <v>0</v>
      </c>
      <c r="L116" s="6">
        <f>Consumo_Medido!K116-Consumo_Faturado!K116</f>
        <v>0</v>
      </c>
      <c r="M116" s="6">
        <f>Consumo_Medido!L116-Consumo_Faturado!L116</f>
        <v>0</v>
      </c>
      <c r="N116" s="6">
        <f>Consumo_Medido!M116-Consumo_Faturado!M116</f>
        <v>0</v>
      </c>
      <c r="O116" s="6">
        <f>Consumo_Medido!N116-Consumo_Faturado!N116</f>
        <v>0</v>
      </c>
    </row>
    <row r="117" spans="1:15" hidden="1" x14ac:dyDescent="0.3">
      <c r="A117" s="1" t="s">
        <v>131</v>
      </c>
      <c r="B117" s="1" t="s">
        <v>14</v>
      </c>
      <c r="C117" s="1"/>
      <c r="D117" s="6">
        <f>Consumo_Medido!C117-Consumo_Faturado!C117</f>
        <v>0</v>
      </c>
      <c r="E117" s="6">
        <f>Consumo_Medido!D117-Consumo_Faturado!D117</f>
        <v>0</v>
      </c>
      <c r="F117" s="6">
        <f>Consumo_Medido!E117-Consumo_Faturado!E117</f>
        <v>0</v>
      </c>
      <c r="G117" s="6">
        <f>Consumo_Medido!F117-Consumo_Faturado!F117</f>
        <v>0</v>
      </c>
      <c r="H117" s="6">
        <f>Consumo_Medido!G117-Consumo_Faturado!G117</f>
        <v>0</v>
      </c>
      <c r="I117" s="6">
        <f>Consumo_Medido!H117-Consumo_Faturado!H117</f>
        <v>0</v>
      </c>
      <c r="J117" s="6">
        <f>Consumo_Medido!I117-Consumo_Faturado!I117</f>
        <v>0</v>
      </c>
      <c r="K117" s="6">
        <f>Consumo_Medido!J117-Consumo_Faturado!J117</f>
        <v>0</v>
      </c>
      <c r="L117" s="6">
        <f>Consumo_Medido!K117-Consumo_Faturado!K117</f>
        <v>0</v>
      </c>
      <c r="M117" s="6">
        <f>Consumo_Medido!L117-Consumo_Faturado!L117</f>
        <v>0</v>
      </c>
      <c r="N117" s="6">
        <f>Consumo_Medido!M117-Consumo_Faturado!M117</f>
        <v>0</v>
      </c>
      <c r="O117" s="6">
        <f>Consumo_Medido!N117-Consumo_Faturado!N117</f>
        <v>0</v>
      </c>
    </row>
    <row r="118" spans="1:15" hidden="1" x14ac:dyDescent="0.3">
      <c r="A118" s="1" t="s">
        <v>132</v>
      </c>
      <c r="B118" s="3" t="s">
        <v>16</v>
      </c>
      <c r="C118" s="7" t="str">
        <f t="shared" ref="C118:C119" si="5">IF(COUNTIF(D118:O118,"&lt;&gt;0")&gt;0,"Reclamar","Só zeros")</f>
        <v>Reclamar</v>
      </c>
      <c r="D118" s="6">
        <f>Consumo_Medido!C118-Consumo_Faturado!C118</f>
        <v>0</v>
      </c>
      <c r="E118" s="6">
        <f>Consumo_Medido!D118-Consumo_Faturado!D118</f>
        <v>-100</v>
      </c>
      <c r="F118" s="6">
        <f>Consumo_Medido!E118-Consumo_Faturado!E118</f>
        <v>-100</v>
      </c>
      <c r="G118" s="6">
        <f>Consumo_Medido!F118-Consumo_Faturado!F118</f>
        <v>-86</v>
      </c>
      <c r="H118" s="6">
        <f>Consumo_Medido!G118-Consumo_Faturado!G118</f>
        <v>-98</v>
      </c>
      <c r="I118" s="6">
        <f>Consumo_Medido!H118-Consumo_Faturado!H118</f>
        <v>-68</v>
      </c>
      <c r="J118" s="6">
        <f>Consumo_Medido!I118-Consumo_Faturado!I118</f>
        <v>-93</v>
      </c>
      <c r="K118" s="6">
        <f>Consumo_Medido!J118-Consumo_Faturado!J118</f>
        <v>-100</v>
      </c>
      <c r="L118" s="6">
        <f>Consumo_Medido!K118-Consumo_Faturado!K118</f>
        <v>-100</v>
      </c>
      <c r="M118" s="6">
        <f>Consumo_Medido!L118-Consumo_Faturado!L118</f>
        <v>-70</v>
      </c>
      <c r="N118" s="6">
        <f>Consumo_Medido!M118-Consumo_Faturado!M118</f>
        <v>0</v>
      </c>
      <c r="O118" s="6">
        <f>Consumo_Medido!N118-Consumo_Faturado!N118</f>
        <v>0</v>
      </c>
    </row>
    <row r="119" spans="1:15" hidden="1" x14ac:dyDescent="0.3">
      <c r="A119" s="1" t="s">
        <v>133</v>
      </c>
      <c r="B119" s="3" t="s">
        <v>16</v>
      </c>
      <c r="C119" s="7" t="str">
        <f t="shared" si="5"/>
        <v>Reclamar</v>
      </c>
      <c r="D119" s="6">
        <f>Consumo_Medido!C119-Consumo_Faturado!C119</f>
        <v>0</v>
      </c>
      <c r="E119" s="6">
        <f>Consumo_Medido!D119-Consumo_Faturado!D119</f>
        <v>0</v>
      </c>
      <c r="F119" s="6">
        <f>Consumo_Medido!E119-Consumo_Faturado!E119</f>
        <v>-56</v>
      </c>
      <c r="G119" s="6">
        <f>Consumo_Medido!F119-Consumo_Faturado!F119</f>
        <v>-98</v>
      </c>
      <c r="H119" s="6">
        <f>Consumo_Medido!G119-Consumo_Faturado!G119</f>
        <v>-83</v>
      </c>
      <c r="I119" s="6">
        <f>Consumo_Medido!H119-Consumo_Faturado!H119</f>
        <v>-25</v>
      </c>
      <c r="J119" s="6">
        <f>Consumo_Medido!I119-Consumo_Faturado!I119</f>
        <v>-60</v>
      </c>
      <c r="K119" s="6">
        <f>Consumo_Medido!J119-Consumo_Faturado!J119</f>
        <v>-55</v>
      </c>
      <c r="L119" s="6">
        <f>Consumo_Medido!K119-Consumo_Faturado!K119</f>
        <v>-95</v>
      </c>
      <c r="M119" s="6">
        <f>Consumo_Medido!L119-Consumo_Faturado!L119</f>
        <v>-72</v>
      </c>
      <c r="N119" s="6">
        <f>Consumo_Medido!M119-Consumo_Faturado!M119</f>
        <v>-16</v>
      </c>
      <c r="O119" s="6">
        <f>Consumo_Medido!N119-Consumo_Faturado!N119</f>
        <v>-55</v>
      </c>
    </row>
    <row r="120" spans="1:15" hidden="1" x14ac:dyDescent="0.3">
      <c r="A120" s="1" t="s">
        <v>134</v>
      </c>
      <c r="B120" s="1" t="s">
        <v>14</v>
      </c>
      <c r="C120" s="1"/>
      <c r="D120" s="6">
        <f>Consumo_Medido!C120-Consumo_Faturado!C120</f>
        <v>0</v>
      </c>
      <c r="E120" s="6">
        <f>Consumo_Medido!D120-Consumo_Faturado!D120</f>
        <v>0</v>
      </c>
      <c r="F120" s="6">
        <f>Consumo_Medido!E120-Consumo_Faturado!E120</f>
        <v>0</v>
      </c>
      <c r="G120" s="6">
        <f>Consumo_Medido!F120-Consumo_Faturado!F120</f>
        <v>0</v>
      </c>
      <c r="H120" s="6">
        <f>Consumo_Medido!G120-Consumo_Faturado!G120</f>
        <v>0</v>
      </c>
      <c r="I120" s="6">
        <f>Consumo_Medido!H120-Consumo_Faturado!H120</f>
        <v>0</v>
      </c>
      <c r="J120" s="6">
        <f>Consumo_Medido!I120-Consumo_Faturado!I120</f>
        <v>0</v>
      </c>
      <c r="K120" s="6">
        <f>Consumo_Medido!J120-Consumo_Faturado!J120</f>
        <v>0</v>
      </c>
      <c r="L120" s="6">
        <f>Consumo_Medido!K120-Consumo_Faturado!K120</f>
        <v>0</v>
      </c>
      <c r="M120" s="6">
        <f>Consumo_Medido!L120-Consumo_Faturado!L120</f>
        <v>0</v>
      </c>
      <c r="N120" s="6">
        <f>Consumo_Medido!M120-Consumo_Faturado!M120</f>
        <v>0</v>
      </c>
      <c r="O120" s="6">
        <f>Consumo_Medido!N120-Consumo_Faturado!N120</f>
        <v>0</v>
      </c>
    </row>
    <row r="121" spans="1:15" hidden="1" x14ac:dyDescent="0.3">
      <c r="A121" s="1" t="s">
        <v>135</v>
      </c>
      <c r="B121" s="3" t="s">
        <v>16</v>
      </c>
      <c r="C121" s="7" t="str">
        <f t="shared" ref="C121:C122" si="6">IF(COUNTIF(D121:O121,"&lt;&gt;0")&gt;0,"Reclamar","Só zeros")</f>
        <v>Reclamar</v>
      </c>
      <c r="D121" s="6">
        <f>Consumo_Medido!C121-Consumo_Faturado!C121</f>
        <v>0</v>
      </c>
      <c r="E121" s="6">
        <f>Consumo_Medido!D121-Consumo_Faturado!D121</f>
        <v>-100</v>
      </c>
      <c r="F121" s="6">
        <f>Consumo_Medido!E121-Consumo_Faturado!E121</f>
        <v>-100</v>
      </c>
      <c r="G121" s="6">
        <f>Consumo_Medido!F121-Consumo_Faturado!F121</f>
        <v>-100</v>
      </c>
      <c r="H121" s="6">
        <f>Consumo_Medido!G121-Consumo_Faturado!G121</f>
        <v>-100</v>
      </c>
      <c r="I121" s="6">
        <f>Consumo_Medido!H121-Consumo_Faturado!H121</f>
        <v>-83</v>
      </c>
      <c r="J121" s="6">
        <f>Consumo_Medido!I121-Consumo_Faturado!I121</f>
        <v>-100</v>
      </c>
      <c r="K121" s="6">
        <f>Consumo_Medido!J121-Consumo_Faturado!J121</f>
        <v>-100</v>
      </c>
      <c r="L121" s="6">
        <f>Consumo_Medido!K121-Consumo_Faturado!K121</f>
        <v>-100</v>
      </c>
      <c r="M121" s="6">
        <f>Consumo_Medido!L121-Consumo_Faturado!L121</f>
        <v>-100</v>
      </c>
      <c r="N121" s="6">
        <f>Consumo_Medido!M121-Consumo_Faturado!M121</f>
        <v>-100</v>
      </c>
      <c r="O121" s="6">
        <f>Consumo_Medido!N121-Consumo_Faturado!N121</f>
        <v>-99</v>
      </c>
    </row>
    <row r="122" spans="1:15" hidden="1" x14ac:dyDescent="0.3">
      <c r="A122" s="1" t="s">
        <v>136</v>
      </c>
      <c r="B122" s="3" t="s">
        <v>16</v>
      </c>
      <c r="C122" s="7" t="str">
        <f t="shared" si="6"/>
        <v>Reclamar</v>
      </c>
      <c r="D122" s="6">
        <f>Consumo_Medido!C122-Consumo_Faturado!C122</f>
        <v>0</v>
      </c>
      <c r="E122" s="6">
        <f>Consumo_Medido!D122-Consumo_Faturado!D122</f>
        <v>0</v>
      </c>
      <c r="F122" s="6">
        <f>Consumo_Medido!E122-Consumo_Faturado!E122</f>
        <v>-43</v>
      </c>
      <c r="G122" s="6">
        <f>Consumo_Medido!F122-Consumo_Faturado!F122</f>
        <v>-100</v>
      </c>
      <c r="H122" s="6">
        <f>Consumo_Medido!G122-Consumo_Faturado!G122</f>
        <v>-99</v>
      </c>
      <c r="I122" s="6">
        <f>Consumo_Medido!H122-Consumo_Faturado!H122</f>
        <v>0</v>
      </c>
      <c r="J122" s="6">
        <f>Consumo_Medido!I122-Consumo_Faturado!I122</f>
        <v>0</v>
      </c>
      <c r="K122" s="6">
        <f>Consumo_Medido!J122-Consumo_Faturado!J122</f>
        <v>-32</v>
      </c>
      <c r="L122" s="6">
        <f>Consumo_Medido!K122-Consumo_Faturado!K122</f>
        <v>-49</v>
      </c>
      <c r="M122" s="6">
        <f>Consumo_Medido!L122-Consumo_Faturado!L122</f>
        <v>-75</v>
      </c>
      <c r="N122" s="6">
        <f>Consumo_Medido!M122-Consumo_Faturado!M122</f>
        <v>0</v>
      </c>
      <c r="O122" s="6">
        <f>Consumo_Medido!N122-Consumo_Faturado!N122</f>
        <v>0</v>
      </c>
    </row>
    <row r="123" spans="1:15" hidden="1" x14ac:dyDescent="0.3">
      <c r="A123" s="1" t="s">
        <v>137</v>
      </c>
      <c r="B123" s="1" t="s">
        <v>14</v>
      </c>
      <c r="C123" s="1"/>
    </row>
    <row r="124" spans="1:15" hidden="1" x14ac:dyDescent="0.3">
      <c r="A124" s="1" t="s">
        <v>138</v>
      </c>
      <c r="B124" s="1" t="s">
        <v>14</v>
      </c>
      <c r="C124" s="1"/>
    </row>
    <row r="125" spans="1:15" hidden="1" x14ac:dyDescent="0.3">
      <c r="A125" s="1" t="s">
        <v>139</v>
      </c>
      <c r="B125" s="1" t="s">
        <v>14</v>
      </c>
      <c r="C125" s="1"/>
    </row>
    <row r="126" spans="1:15" hidden="1" x14ac:dyDescent="0.3">
      <c r="A126" s="1" t="s">
        <v>140</v>
      </c>
      <c r="B126" s="1" t="s">
        <v>141</v>
      </c>
      <c r="C126" s="1"/>
    </row>
    <row r="127" spans="1:15" hidden="1" x14ac:dyDescent="0.3">
      <c r="A127" s="1" t="s">
        <v>142</v>
      </c>
      <c r="B127" s="1" t="s">
        <v>14</v>
      </c>
      <c r="C127" s="1"/>
    </row>
  </sheetData>
  <autoFilter ref="B1:O127" xr:uid="{3A80CD2C-83A0-44B9-9789-AF041C55E9B4}">
    <filterColumn colId="0">
      <filters>
        <filter val="B4a ILUMINAÇÃO PÚBLICA -ILUMINACAO PÚBL"/>
      </filters>
    </filterColumn>
    <filterColumn colId="1">
      <filters blank="1"/>
    </filterColumn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Classificação</vt:lpstr>
      <vt:lpstr>Consumo_Faturado</vt:lpstr>
      <vt:lpstr>Consumo_Medido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ESTAGIARIO 4 ENERGIA</cp:lastModifiedBy>
  <dcterms:created xsi:type="dcterms:W3CDTF">2026-06-17T13:14:46Z</dcterms:created>
  <dcterms:modified xsi:type="dcterms:W3CDTF">2026-06-18T12:13:45Z</dcterms:modified>
</cp:coreProperties>
</file>