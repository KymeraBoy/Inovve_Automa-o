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Leitor_de_Fatura\Faturas_Texter\LUCENA_Texter\"/>
    </mc:Choice>
  </mc:AlternateContent>
  <xr:revisionPtr revIDLastSave="0" documentId="13_ncr:1_{BE38968C-8672-46A5-AB01-08316F7526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AÇÃO GERAL" sheetId="1" r:id="rId1"/>
    <sheet name="HISTÓRICO DE CONSUM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2" l="1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" i="2"/>
</calcChain>
</file>

<file path=xl/sharedStrings.xml><?xml version="1.0" encoding="utf-8"?>
<sst xmlns="http://schemas.openxmlformats.org/spreadsheetml/2006/main" count="589" uniqueCount="209">
  <si>
    <t>UNIDADE</t>
  </si>
  <si>
    <t>FORNECIMENTO</t>
  </si>
  <si>
    <t>NÍVEL DE TENSÃO</t>
  </si>
  <si>
    <t>CÓDIGO</t>
  </si>
  <si>
    <t>CLASSIFICAÇÃO</t>
  </si>
  <si>
    <t>DESTINO</t>
  </si>
  <si>
    <t>ENDEREÇO</t>
  </si>
  <si>
    <t>5/1002863-7</t>
  </si>
  <si>
    <t>TRIFASICO</t>
  </si>
  <si>
    <t xml:space="preserve"> BAIXA TENSÃO</t>
  </si>
  <si>
    <t>B3 PODER</t>
  </si>
  <si>
    <t>PÚBLICO / POD. PÚB. MUNICIPAL</t>
  </si>
  <si>
    <t>PM LUCENA POLO UNIVERSITARIO</t>
  </si>
  <si>
    <t>RUA SAO JOSE, S/N - 58315000 FAGUNDES LUCENA (AG: 1)</t>
  </si>
  <si>
    <t>5/1013630-7</t>
  </si>
  <si>
    <t>P M L PREFEITURA MUNICIPAL DE LUCENA</t>
  </si>
  <si>
    <t>RUA FIRMINO DE SOUSA FALCAO, 736 - 58315000 CENTRO LUCENA (AG: 1)</t>
  </si>
  <si>
    <t>5/1028781-1</t>
  </si>
  <si>
    <t>PM LUCENA QUADRA POLIESPORTIVA DE</t>
  </si>
  <si>
    <t>FAGUNDES TRAV SAO JOSE, S/N - 58315000 FAGUNDES LUCENA (AG: 1)</t>
  </si>
  <si>
    <t>5/1029692-9</t>
  </si>
  <si>
    <t>MONOFASICO</t>
  </si>
  <si>
    <t>SECRETARIA DE DEFESA SOCIAL</t>
  </si>
  <si>
    <t>RUA LUIZ DE SOUZA FALCAO, S/N - 58315000 CENTRO LUCENA (AG: 1)</t>
  </si>
  <si>
    <t>5/1059535-3</t>
  </si>
  <si>
    <t>P M L QUADRA DE ESPORTE A FALCAO</t>
  </si>
  <si>
    <t>RUA AMERICO FALCAO, S/N - 58315000 CENTRO LUCENA (AG: 1)</t>
  </si>
  <si>
    <t>5/1090727-7</t>
  </si>
  <si>
    <t>EMEF MARCOM LUIZ DE FRANCA SOBRINHO</t>
  </si>
  <si>
    <t>RUA DIOGENES CHIANCA, S/N - 58315000 AREA RURAL LUCENA (AG: 1)</t>
  </si>
  <si>
    <t>5/1096861-8</t>
  </si>
  <si>
    <t>P M L UNIDADE MISTA DE SAUDE ( LUCENA )</t>
  </si>
  <si>
    <t>RUA PROJETADA, S/N - 58315000 CENTRO LUCENA (AG: 1)</t>
  </si>
  <si>
    <t>5/1147776-7</t>
  </si>
  <si>
    <t>PM LUCENA - SANITARIO PUBLICO</t>
  </si>
  <si>
    <t>RUA PATIO DA BALSA, S/N - 58315000 COSTINHA LUCENA (AG: 1)</t>
  </si>
  <si>
    <t>5/1181494-4</t>
  </si>
  <si>
    <t>EMEF LUIZ DE SOUZA FALCAO</t>
  </si>
  <si>
    <t>ASSENT OUTEIRO DE MIRANDA, 85 - 58315000 AREA RURAL LUCENA (AG: 1)</t>
  </si>
  <si>
    <t>5/1182440-6</t>
  </si>
  <si>
    <t>B3 SERVIÇO</t>
  </si>
  <si>
    <t>PÚBLICO / ÁGUA, ESGOTO E SANEAMENTO</t>
  </si>
  <si>
    <t>PM LUCENA CAIXA DAGUA ASSENTAMENTO</t>
  </si>
  <si>
    <t>MIRANDA ASSENT OUTEIRO DE MIRANDA, S/N - 58315000 AREA RURAL LUCENA (AG: 1)</t>
  </si>
  <si>
    <t>5/1291118-6</t>
  </si>
  <si>
    <t>EM DE GAMELEIRA PRACA</t>
  </si>
  <si>
    <t>RUA PORFIRIO GUEDES, S/N - 58315000 GAMELEIRA LUCENA (AG: 1)</t>
  </si>
  <si>
    <t>5/1361399-7</t>
  </si>
  <si>
    <t>PM LUCENA POSTO DE SAUDE DA GUIA</t>
  </si>
  <si>
    <t>RUA PRAIA DE FAGUNDES, S/N - PSF - 58315000 CUIA LUCENA (AG: 1)</t>
  </si>
  <si>
    <t>5/1407021-3</t>
  </si>
  <si>
    <t>EMEF GILBERTO INACIO DOS SANTOS</t>
  </si>
  <si>
    <t>RUA RITA RAQUEL DE VASCONCELOS, S/N - 58315000 FAGUNDES LUCENA (AG: 1)</t>
  </si>
  <si>
    <t>5/1488020-7</t>
  </si>
  <si>
    <t>P M LUCENA CENTRO DE CAP JOSE</t>
  </si>
  <si>
    <t>PATROCINIO DE OLIVEIRA LIMA RUA PORFIRIO GUEDES, S/N - 58315000 GAMELEIRA LUCENA (AG: 1)</t>
  </si>
  <si>
    <t>5/1545314-5</t>
  </si>
  <si>
    <t>P M DE LUCENA ABASTECIMENTO SAVE</t>
  </si>
  <si>
    <t>LOC COMUN SAUE, S/N - 58315000 PONTINHA LUCENA (AG: 1)</t>
  </si>
  <si>
    <t>5/1597905-7</t>
  </si>
  <si>
    <t>P M LUCENA SECRETARIA EDUCACAO</t>
  </si>
  <si>
    <t>RUA ANTONIO FERNANDES, S/N - 58315000 LUCENA LUCENA (AG: 1)</t>
  </si>
  <si>
    <t>5/1604273-1</t>
  </si>
  <si>
    <t>P M LUCENA CRAS</t>
  </si>
  <si>
    <t>RUA MARIA RITA, 0 - 58315000 FAGUNDES LUCENA (AG: 1)</t>
  </si>
  <si>
    <t>5/1611713-7</t>
  </si>
  <si>
    <t>P M LUCENA ESTADIO MUNICIPAL ANTONIO</t>
  </si>
  <si>
    <t>TOSCANO DE BRITO RUA PROJETADA, S/N - 58315000 LUCENA LUCENA (AG: 1)</t>
  </si>
  <si>
    <t>5/1665142-4</t>
  </si>
  <si>
    <t>PM LUCENA FUNDO MUNICIPAL DE SAUDE PSF</t>
  </si>
  <si>
    <t>III RUA JOAO MONTEIRO FALCAO, S/N - 58315000 CENTRO LUCENA (AG: 1)</t>
  </si>
  <si>
    <t>5/1784385-5</t>
  </si>
  <si>
    <t>PM LUCENA UNIDADE BASICA DE SAUDE</t>
  </si>
  <si>
    <t>RUA PROJETADA, S/N - Q Q L 6 - 58315000 NOVO MILENIO LUCENA (AG: 1)</t>
  </si>
  <si>
    <t>5/1839211-8</t>
  </si>
  <si>
    <t>PM LUCENA PRACA DE ALIMENTACAO</t>
  </si>
  <si>
    <t>AV AMERICO FALCAO, S/N - 58315000 CENTRO LUCENA (AG: 1)</t>
  </si>
  <si>
    <t>5/1859973-8</t>
  </si>
  <si>
    <t>PM LUCENA PSF DO ASSENTAMETO ESTIVAS</t>
  </si>
  <si>
    <t>DO GERALDO SIT ESTIVAS, SN - POSTO DE SAUDE - 58315000 ESTIVA GERALDO LUCENA (AG: 1)</t>
  </si>
  <si>
    <t>5/1904325-6</t>
  </si>
  <si>
    <t>PM LUCENA PSF OUTEIRO DE MIRANDA</t>
  </si>
  <si>
    <t>ASSENT OUTEIRO DE MIRANDA, S/N - PSF - 58315000 LUCENA LUCENA (AG: 1)</t>
  </si>
  <si>
    <t>5/1908865-7</t>
  </si>
  <si>
    <t>PM LUCENA SECRETARIA DE</t>
  </si>
  <si>
    <t>INFRAESTRUTURA RUA PROJETADA, S/N - SEC. DE INFRA ESTRUTURA DE LUCENA - 58315000 CENTRO LUCENA (AG: 1)</t>
  </si>
  <si>
    <t>5/1912841-2</t>
  </si>
  <si>
    <t>PM LUCENA CEMITERIO CORACAO DE JESUS</t>
  </si>
  <si>
    <t>RUA MARIANO DE SOUZA FALCAO, S/N - CEMITERIO - 58315000 CAMACARI LUCENA (AG: 1)</t>
  </si>
  <si>
    <t>5/2002442-8</t>
  </si>
  <si>
    <t>PM LUCENA CAMERA DE MONITORAMENTO</t>
  </si>
  <si>
    <t>RUA SAO JOSE, S/N - CAMERA DE MONITORAMENTO - 58315000 CENTRO LUCENA (AG: 1)</t>
  </si>
  <si>
    <t>5/2002467-5</t>
  </si>
  <si>
    <t>PM LUCENA PRACA EVERTON ARTUR SANTOS</t>
  </si>
  <si>
    <t>DOS ANJOS RUA MANOEL MARINHO, S/N - PRACA - 58315000 COSTINHA LUCENA (AG: 1)</t>
  </si>
  <si>
    <t>5/2047146-2</t>
  </si>
  <si>
    <t>PM LUCENA CAIXA D AGUA</t>
  </si>
  <si>
    <t>RUA PRAIA DE FAGUNDES, 0 - CAIXA D AGUA - 58315000 AREA RURAL LUCENA (AG: 1)</t>
  </si>
  <si>
    <t>5/2055893-8</t>
  </si>
  <si>
    <t>PM LUCENA ESCOLA ANTENOR LOPES FALCAO</t>
  </si>
  <si>
    <t>RUA DA CARRAPETA, 0 - 58315000 LUCENA LUCENA (AG: 1)</t>
  </si>
  <si>
    <t>5/2219287-6</t>
  </si>
  <si>
    <t>PM LUCENA POSTO AVANCADO DE JUSTICA</t>
  </si>
  <si>
    <t>AV AMERICO FALCAO, 820 - 58315000 CENTRO LUCENA (AG: 1)</t>
  </si>
  <si>
    <t>5/225730-1</t>
  </si>
  <si>
    <t>CRAS LUCENA</t>
  </si>
  <si>
    <t>RUA MANOEL GOMES DA SILVA, 223 - 58315000 CARRAPETA LUCENA (AG: 1)</t>
  </si>
  <si>
    <t>5/225798-8</t>
  </si>
  <si>
    <t>SECRETARIA DA DEFESA SOCIAL</t>
  </si>
  <si>
    <t>5/225829-1</t>
  </si>
  <si>
    <t>EEEF GAMELEIRA LUCENA</t>
  </si>
  <si>
    <t>RUA PORFIRIO GUEDES, S/N - ESCOLA - 58315000 CENTRO LUCENA (AG: 1)</t>
  </si>
  <si>
    <t>5/225920-8</t>
  </si>
  <si>
    <t>PM LUCENA MERC PUB DE FAGUNDES</t>
  </si>
  <si>
    <t>5/226022-2</t>
  </si>
  <si>
    <t>PM LUCENA POSTO MEDICO</t>
  </si>
  <si>
    <t>RUA VALDOMIRO BEZERRA, S/N - 58315000 COSTINHA LUCENA (AG: 1)</t>
  </si>
  <si>
    <t>5/226251-7</t>
  </si>
  <si>
    <t>PM LUCENA</t>
  </si>
  <si>
    <t>RUA AMERICO FALCAO, 780 - 58315000 CENTRO LUCENA (AG: 1)</t>
  </si>
  <si>
    <t>5/226255-8</t>
  </si>
  <si>
    <t>P M L PREFEITURA MUNICIPAL LUCENA</t>
  </si>
  <si>
    <t>RUA AMERICO FALCAO, 736 - 58315000 CENTRO LUCENA (AG: 1)</t>
  </si>
  <si>
    <t>5/226271-5</t>
  </si>
  <si>
    <t>P M L POSTO MED MUNICIPAL</t>
  </si>
  <si>
    <t>RUA AMERICO FALCAO, 674 - 58315000 CENTRO LUCENA (AG: 1)</t>
  </si>
  <si>
    <t>5/226418-2</t>
  </si>
  <si>
    <t>P M L NUC CULT MUNICIPAL</t>
  </si>
  <si>
    <t>RUA JOAO MONTEIRO FALCAO, S/N - 58315000 CENTRO LUCENA (AG: 1)</t>
  </si>
  <si>
    <t>5/226419-0</t>
  </si>
  <si>
    <t>P M L SECRETARIA MUN DE EDUCACAO</t>
  </si>
  <si>
    <t>5/226422-4</t>
  </si>
  <si>
    <t>P M L GR.ESC.MUNICIPAL</t>
  </si>
  <si>
    <t>RUA DESP JOAO ARAUJO DANTAS, S/N - 58315000 COSTINHA LUCENA (AG: 1)</t>
  </si>
  <si>
    <t>5/226448-9</t>
  </si>
  <si>
    <t>P M L ESC MUN E DE S FALCAO</t>
  </si>
  <si>
    <t>RUA EUGENIO DE LUNA FALCAO, S/N - 58315000 PTA DE LUCENA LUCENA (AG: 1)</t>
  </si>
  <si>
    <t>5/226664-1</t>
  </si>
  <si>
    <t>CENTRO DOS PROGRAMAS SOCIAIS</t>
  </si>
  <si>
    <t>RUA PROJETADA, S/N - CS - 58315000 CENTRO LUCENA (AG: 1)</t>
  </si>
  <si>
    <t>5/226924-9</t>
  </si>
  <si>
    <t>PM LUCENA POSTO DE SAUDE DA FAMILIA 01</t>
  </si>
  <si>
    <t>FAGUNDES RUA SAO JOSE, S/N - 58315000 CENTRO LUCENA (AG: 1)</t>
  </si>
  <si>
    <t>5/226943-9</t>
  </si>
  <si>
    <t>EEEF DE FAGUNDES LUCENA</t>
  </si>
  <si>
    <t>RUA SAO JOSE, S/N - 58315000 CENTRO LUCENA (AG: 1)</t>
  </si>
  <si>
    <t>5/227332-4</t>
  </si>
  <si>
    <t>PM LUCENA LAVANDERIA PUBLICA</t>
  </si>
  <si>
    <t>RUA PRAIA DE FAGUNDES, S/N - 58315000 CUIA LUCENA (AG: 1)</t>
  </si>
  <si>
    <t>5/227340-7</t>
  </si>
  <si>
    <t>B4A</t>
  </si>
  <si>
    <t>ILUMINAÇÃO PÚBLICA / ILUMINAÇÃO PÚBLICA</t>
  </si>
  <si>
    <t>ILUMINACAO PUBLICA - P.M.LUCENA</t>
  </si>
  <si>
    <t>ROD BR 230, S/N - 58315000 CENTRO LUCENA (AG: 1)</t>
  </si>
  <si>
    <t>5/2304105-6</t>
  </si>
  <si>
    <t>PM LUCENA QUADRA ESPORTIVA</t>
  </si>
  <si>
    <t>RUA MANOEL MARINHO, S/N - 58315000 COSTINHA LUCENA (AG: 1)</t>
  </si>
  <si>
    <t>5/2412177-4</t>
  </si>
  <si>
    <t>PM DE LUCENA CEMITERIO DO ESTIVA</t>
  </si>
  <si>
    <t>RUA ESTIVA GERALDO, SN - 58300000 AREA RURAL LUCENA (AG: 1)</t>
  </si>
  <si>
    <t>5/2475100-0</t>
  </si>
  <si>
    <t>PM LUCENA BANCO 24 HORAS</t>
  </si>
  <si>
    <t>AV AMERICO FALCAO, 1000 - 58315970 CENTRO LUCENA (AG: 1)</t>
  </si>
  <si>
    <t>5/2484337-7</t>
  </si>
  <si>
    <t>PM LUCENA POCO ARTESIANO PUBLICO</t>
  </si>
  <si>
    <t>SIT JARDIM, 0 - PARQUE DAS AGUAS - 58315000 LUCENA LUCENA (AG: 1)</t>
  </si>
  <si>
    <t>5/4211396-9</t>
  </si>
  <si>
    <t>PM LUCENA CRECHE</t>
  </si>
  <si>
    <t>RUA JULIO DE CARVALHO, SN - 58315000 FAGUNDES LUCENA (AG: 1)</t>
  </si>
  <si>
    <t>5/4326018-1</t>
  </si>
  <si>
    <t>PM LUCENA MERCADO PUBLICO</t>
  </si>
  <si>
    <t>RUA DO MERCADO, SN - ADM - 58315000 CENTRO LUCENA (AG: 1)</t>
  </si>
  <si>
    <t>5/656713-5</t>
  </si>
  <si>
    <t>P M L GRUPO ESCOLAR MUNICIPAL</t>
  </si>
  <si>
    <t>RUA PRAIA DE FAGUNDES, S/N - 58315000 ESTIVA LUCENA (AG: 1)</t>
  </si>
  <si>
    <t>5/694989-5</t>
  </si>
  <si>
    <t>RUA PROJETADA, S/N - 58315000 CARRAPETA LUCENA (AG: 1)</t>
  </si>
  <si>
    <t>5/747989-2</t>
  </si>
  <si>
    <t>P M L QUADRA POLIESPORTIVA JOSE O F</t>
  </si>
  <si>
    <t>RUA JOAO PAULINO, S/N - 58315000 CENTRO LUCENA (AG: 1)</t>
  </si>
  <si>
    <t>5/751062-1</t>
  </si>
  <si>
    <t>P M L ESCOLA MUNICIPAL ELINORA MONTE</t>
  </si>
  <si>
    <t>RUA MANOEL GOMES DA SILVA, S/N - 58315000 CARRAPETA LUCENA (AG: 1)</t>
  </si>
  <si>
    <t>5/759895-6</t>
  </si>
  <si>
    <t>PM LUCENA POSTO DE SAUDE DE GAMELEIRA</t>
  </si>
  <si>
    <t>5/800556-3</t>
  </si>
  <si>
    <t>P M L POSTO SAUDE P. LUCENA-P M LUCENA</t>
  </si>
  <si>
    <t>5/806843-9</t>
  </si>
  <si>
    <t>P M L ESCOLA MUNICIPAL OTTO ILLI</t>
  </si>
  <si>
    <t>RUA PRAIA DE FAGUNDES, S/N - 58315000 ESTIVA GERALDO LUCENA (AG: 1)</t>
  </si>
  <si>
    <t>5/811074-4</t>
  </si>
  <si>
    <t>PM LUCENA SANTUARIO DA GUIA</t>
  </si>
  <si>
    <t>RUA PRAIA DE FAGUNDES, S/N - 58315000 N SRA DA GUIA LUCENA (AG: 1)</t>
  </si>
  <si>
    <t>5/867135-6</t>
  </si>
  <si>
    <t>PM LUCENA SALA DE AULA DE FAGUNDES</t>
  </si>
  <si>
    <t>DATA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</si>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</sst>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Verdana"/>
    </font>
    <font>
      <sz val="8"/>
      <name val="Verdana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2" fillId="7" borderId="1" xfId="0" applyFont="1" applyFill="1" applyBorder="1" applyAlignment="1">
      <alignment horizontal="center" vertical="center"/>
    </xf>
    <xf numFmtId="0" fontId="0" fillId="7" borderId="0" xfId="0" applyFill="1"/>
    <xf numFmtId="0" fontId="2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workbookViewId="0">
      <selection activeCell="B12" sqref="B12"/>
    </sheetView>
  </sheetViews>
  <sheetFormatPr defaultRowHeight="14.4" x14ac:dyDescent="0.3"/>
  <cols>
    <col min="1" max="1" width="13" customWidth="1"/>
    <col min="2" max="2" width="14" customWidth="1"/>
    <col min="3" max="3" width="17" customWidth="1"/>
    <col min="4" max="4" width="12" customWidth="1"/>
    <col min="5" max="6" width="41" customWidth="1"/>
    <col min="7" max="7" width="10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3" t="s">
        <v>14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15</v>
      </c>
      <c r="G3" s="3" t="s">
        <v>16</v>
      </c>
    </row>
    <row r="4" spans="1:7" s="7" customFormat="1" x14ac:dyDescent="0.3">
      <c r="A4" s="6" t="s">
        <v>17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18</v>
      </c>
      <c r="G4" s="6" t="s">
        <v>19</v>
      </c>
    </row>
    <row r="5" spans="1:7" x14ac:dyDescent="0.3">
      <c r="A5" s="3" t="s">
        <v>20</v>
      </c>
      <c r="B5" s="3" t="s">
        <v>21</v>
      </c>
      <c r="C5" s="3" t="s">
        <v>9</v>
      </c>
      <c r="D5" s="3" t="s">
        <v>10</v>
      </c>
      <c r="E5" s="3" t="s">
        <v>11</v>
      </c>
      <c r="F5" s="3" t="s">
        <v>22</v>
      </c>
      <c r="G5" s="3" t="s">
        <v>23</v>
      </c>
    </row>
    <row r="6" spans="1:7" s="7" customFormat="1" x14ac:dyDescent="0.3">
      <c r="A6" s="6" t="s">
        <v>24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25</v>
      </c>
      <c r="G6" s="6" t="s">
        <v>26</v>
      </c>
    </row>
    <row r="7" spans="1:7" x14ac:dyDescent="0.3">
      <c r="A7" s="3" t="s">
        <v>27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28</v>
      </c>
      <c r="G7" s="3" t="s">
        <v>29</v>
      </c>
    </row>
    <row r="8" spans="1:7" x14ac:dyDescent="0.3">
      <c r="A8" s="2" t="s">
        <v>30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31</v>
      </c>
      <c r="G8" s="2" t="s">
        <v>32</v>
      </c>
    </row>
    <row r="9" spans="1:7" s="9" customFormat="1" x14ac:dyDescent="0.3">
      <c r="A9" s="8" t="s">
        <v>33</v>
      </c>
      <c r="B9" s="8" t="s">
        <v>21</v>
      </c>
      <c r="C9" s="8" t="s">
        <v>9</v>
      </c>
      <c r="D9" s="8" t="s">
        <v>10</v>
      </c>
      <c r="E9" s="8" t="s">
        <v>11</v>
      </c>
      <c r="F9" s="8" t="s">
        <v>34</v>
      </c>
      <c r="G9" s="8" t="s">
        <v>35</v>
      </c>
    </row>
    <row r="10" spans="1:7" x14ac:dyDescent="0.3">
      <c r="A10" s="2" t="s">
        <v>36</v>
      </c>
      <c r="B10" s="2" t="s">
        <v>21</v>
      </c>
      <c r="C10" s="2" t="s">
        <v>9</v>
      </c>
      <c r="D10" s="2" t="s">
        <v>10</v>
      </c>
      <c r="E10" s="2" t="s">
        <v>11</v>
      </c>
      <c r="F10" s="2" t="s">
        <v>37</v>
      </c>
      <c r="G10" s="2" t="s">
        <v>38</v>
      </c>
    </row>
    <row r="11" spans="1:7" x14ac:dyDescent="0.3">
      <c r="A11" s="3" t="s">
        <v>39</v>
      </c>
      <c r="B11" s="3" t="s">
        <v>8</v>
      </c>
      <c r="C11" s="3" t="s">
        <v>9</v>
      </c>
      <c r="D11" s="3" t="s">
        <v>40</v>
      </c>
      <c r="E11" s="3" t="s">
        <v>41</v>
      </c>
      <c r="F11" s="3" t="s">
        <v>42</v>
      </c>
      <c r="G11" s="3" t="s">
        <v>43</v>
      </c>
    </row>
    <row r="12" spans="1:7" s="7" customFormat="1" x14ac:dyDescent="0.3">
      <c r="A12" s="6" t="s">
        <v>44</v>
      </c>
      <c r="B12" s="6" t="s">
        <v>21</v>
      </c>
      <c r="C12" s="6" t="s">
        <v>9</v>
      </c>
      <c r="D12" s="6" t="s">
        <v>10</v>
      </c>
      <c r="E12" s="6" t="s">
        <v>11</v>
      </c>
      <c r="F12" s="6" t="s">
        <v>45</v>
      </c>
      <c r="G12" s="6" t="s">
        <v>46</v>
      </c>
    </row>
    <row r="13" spans="1:7" x14ac:dyDescent="0.3">
      <c r="A13" s="3" t="s">
        <v>47</v>
      </c>
      <c r="B13" s="3" t="s">
        <v>21</v>
      </c>
      <c r="C13" s="3" t="s">
        <v>9</v>
      </c>
      <c r="D13" s="3" t="s">
        <v>10</v>
      </c>
      <c r="E13" s="3" t="s">
        <v>11</v>
      </c>
      <c r="F13" s="3" t="s">
        <v>48</v>
      </c>
      <c r="G13" s="3" t="s">
        <v>49</v>
      </c>
    </row>
    <row r="14" spans="1:7" x14ac:dyDescent="0.3">
      <c r="A14" s="2" t="s">
        <v>50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51</v>
      </c>
      <c r="G14" s="2" t="s">
        <v>52</v>
      </c>
    </row>
    <row r="15" spans="1:7" x14ac:dyDescent="0.3">
      <c r="A15" s="3" t="s">
        <v>53</v>
      </c>
      <c r="B15" s="3" t="s">
        <v>21</v>
      </c>
      <c r="C15" s="3" t="s">
        <v>9</v>
      </c>
      <c r="D15" s="3" t="s">
        <v>10</v>
      </c>
      <c r="E15" s="3" t="s">
        <v>11</v>
      </c>
      <c r="F15" s="3" t="s">
        <v>54</v>
      </c>
      <c r="G15" s="3" t="s">
        <v>55</v>
      </c>
    </row>
    <row r="16" spans="1:7" x14ac:dyDescent="0.3">
      <c r="A16" s="2" t="s">
        <v>56</v>
      </c>
      <c r="B16" s="2" t="s">
        <v>21</v>
      </c>
      <c r="C16" s="2" t="s">
        <v>9</v>
      </c>
      <c r="D16" s="2" t="s">
        <v>10</v>
      </c>
      <c r="E16" s="2" t="s">
        <v>11</v>
      </c>
      <c r="F16" s="2" t="s">
        <v>57</v>
      </c>
      <c r="G16" s="2" t="s">
        <v>58</v>
      </c>
    </row>
    <row r="17" spans="1:7" x14ac:dyDescent="0.3">
      <c r="A17" s="3" t="s">
        <v>59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60</v>
      </c>
      <c r="G17" s="3" t="s">
        <v>61</v>
      </c>
    </row>
    <row r="18" spans="1:7" x14ac:dyDescent="0.3">
      <c r="A18" s="2" t="s">
        <v>62</v>
      </c>
      <c r="B18" s="2" t="s">
        <v>21</v>
      </c>
      <c r="C18" s="2" t="s">
        <v>9</v>
      </c>
      <c r="D18" s="2" t="s">
        <v>10</v>
      </c>
      <c r="E18" s="2" t="s">
        <v>11</v>
      </c>
      <c r="F18" s="2" t="s">
        <v>63</v>
      </c>
      <c r="G18" s="2" t="s">
        <v>64</v>
      </c>
    </row>
    <row r="19" spans="1:7" x14ac:dyDescent="0.3">
      <c r="A19" s="3" t="s">
        <v>65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66</v>
      </c>
      <c r="G19" s="3" t="s">
        <v>67</v>
      </c>
    </row>
    <row r="20" spans="1:7" x14ac:dyDescent="0.3">
      <c r="A20" s="2" t="s">
        <v>68</v>
      </c>
      <c r="B20" s="2" t="s">
        <v>8</v>
      </c>
      <c r="C20" s="2" t="s">
        <v>9</v>
      </c>
      <c r="D20" s="2" t="s">
        <v>10</v>
      </c>
      <c r="E20" s="2" t="s">
        <v>11</v>
      </c>
      <c r="F20" s="2" t="s">
        <v>69</v>
      </c>
      <c r="G20" s="2" t="s">
        <v>70</v>
      </c>
    </row>
    <row r="21" spans="1:7" x14ac:dyDescent="0.3">
      <c r="A21" s="3" t="s">
        <v>71</v>
      </c>
      <c r="B21" s="3" t="s">
        <v>8</v>
      </c>
      <c r="C21" s="3" t="s">
        <v>9</v>
      </c>
      <c r="D21" s="3" t="s">
        <v>10</v>
      </c>
      <c r="E21" s="3" t="s">
        <v>11</v>
      </c>
      <c r="F21" s="3" t="s">
        <v>72</v>
      </c>
      <c r="G21" s="3" t="s">
        <v>73</v>
      </c>
    </row>
    <row r="22" spans="1:7" x14ac:dyDescent="0.3">
      <c r="A22" s="2" t="s">
        <v>74</v>
      </c>
      <c r="B22" s="2" t="s">
        <v>21</v>
      </c>
      <c r="C22" s="2" t="s">
        <v>9</v>
      </c>
      <c r="D22" s="2" t="s">
        <v>10</v>
      </c>
      <c r="E22" s="2" t="s">
        <v>11</v>
      </c>
      <c r="F22" s="2" t="s">
        <v>75</v>
      </c>
      <c r="G22" s="2" t="s">
        <v>76</v>
      </c>
    </row>
    <row r="23" spans="1:7" x14ac:dyDescent="0.3">
      <c r="A23" s="3" t="s">
        <v>77</v>
      </c>
      <c r="B23" s="3" t="s">
        <v>21</v>
      </c>
      <c r="C23" s="3" t="s">
        <v>9</v>
      </c>
      <c r="D23" s="3" t="s">
        <v>10</v>
      </c>
      <c r="E23" s="3" t="s">
        <v>11</v>
      </c>
      <c r="F23" s="3" t="s">
        <v>78</v>
      </c>
      <c r="G23" s="3" t="s">
        <v>79</v>
      </c>
    </row>
    <row r="24" spans="1:7" x14ac:dyDescent="0.3">
      <c r="A24" s="2" t="s">
        <v>80</v>
      </c>
      <c r="B24" s="2" t="s">
        <v>21</v>
      </c>
      <c r="C24" s="2" t="s">
        <v>9</v>
      </c>
      <c r="D24" s="2" t="s">
        <v>10</v>
      </c>
      <c r="E24" s="2" t="s">
        <v>11</v>
      </c>
      <c r="F24" s="2" t="s">
        <v>81</v>
      </c>
      <c r="G24" s="2" t="s">
        <v>82</v>
      </c>
    </row>
    <row r="25" spans="1:7" x14ac:dyDescent="0.3">
      <c r="A25" s="3" t="s">
        <v>83</v>
      </c>
      <c r="B25" s="3" t="s">
        <v>8</v>
      </c>
      <c r="C25" s="3" t="s">
        <v>9</v>
      </c>
      <c r="D25" s="3" t="s">
        <v>10</v>
      </c>
      <c r="E25" s="3" t="s">
        <v>11</v>
      </c>
      <c r="F25" s="3" t="s">
        <v>84</v>
      </c>
      <c r="G25" s="3" t="s">
        <v>85</v>
      </c>
    </row>
    <row r="26" spans="1:7" x14ac:dyDescent="0.3">
      <c r="A26" s="2" t="s">
        <v>86</v>
      </c>
      <c r="B26" s="2" t="s">
        <v>21</v>
      </c>
      <c r="C26" s="2" t="s">
        <v>9</v>
      </c>
      <c r="D26" s="2" t="s">
        <v>10</v>
      </c>
      <c r="E26" s="2" t="s">
        <v>11</v>
      </c>
      <c r="F26" s="2" t="s">
        <v>87</v>
      </c>
      <c r="G26" s="2" t="s">
        <v>88</v>
      </c>
    </row>
    <row r="27" spans="1:7" x14ac:dyDescent="0.3">
      <c r="A27" s="3" t="s">
        <v>89</v>
      </c>
      <c r="B27" s="3" t="s">
        <v>21</v>
      </c>
      <c r="C27" s="3" t="s">
        <v>9</v>
      </c>
      <c r="D27" s="3" t="s">
        <v>10</v>
      </c>
      <c r="E27" s="3" t="s">
        <v>11</v>
      </c>
      <c r="F27" s="3" t="s">
        <v>90</v>
      </c>
      <c r="G27" s="3" t="s">
        <v>91</v>
      </c>
    </row>
    <row r="28" spans="1:7" x14ac:dyDescent="0.3">
      <c r="A28" s="2" t="s">
        <v>92</v>
      </c>
      <c r="B28" s="2" t="s">
        <v>21</v>
      </c>
      <c r="C28" s="2" t="s">
        <v>9</v>
      </c>
      <c r="D28" s="2" t="s">
        <v>10</v>
      </c>
      <c r="E28" s="2" t="s">
        <v>11</v>
      </c>
      <c r="F28" s="2" t="s">
        <v>93</v>
      </c>
      <c r="G28" s="2" t="s">
        <v>94</v>
      </c>
    </row>
    <row r="29" spans="1:7" s="11" customFormat="1" x14ac:dyDescent="0.3">
      <c r="A29" s="10" t="s">
        <v>95</v>
      </c>
      <c r="B29" s="10" t="s">
        <v>21</v>
      </c>
      <c r="C29" s="10" t="s">
        <v>9</v>
      </c>
      <c r="D29" s="10" t="s">
        <v>10</v>
      </c>
      <c r="E29" s="10" t="s">
        <v>11</v>
      </c>
      <c r="F29" s="10" t="s">
        <v>96</v>
      </c>
      <c r="G29" s="10" t="s">
        <v>97</v>
      </c>
    </row>
    <row r="30" spans="1:7" x14ac:dyDescent="0.3">
      <c r="A30" s="2" t="s">
        <v>98</v>
      </c>
      <c r="B30" s="2" t="s">
        <v>8</v>
      </c>
      <c r="C30" s="2" t="s">
        <v>9</v>
      </c>
      <c r="D30" s="2" t="s">
        <v>10</v>
      </c>
      <c r="E30" s="2" t="s">
        <v>11</v>
      </c>
      <c r="F30" s="2" t="s">
        <v>99</v>
      </c>
      <c r="G30" s="2" t="s">
        <v>100</v>
      </c>
    </row>
    <row r="31" spans="1:7" x14ac:dyDescent="0.3">
      <c r="A31" s="3" t="s">
        <v>101</v>
      </c>
      <c r="B31" s="3" t="s">
        <v>8</v>
      </c>
      <c r="C31" s="3" t="s">
        <v>9</v>
      </c>
      <c r="D31" s="3" t="s">
        <v>10</v>
      </c>
      <c r="E31" s="3" t="s">
        <v>11</v>
      </c>
      <c r="F31" s="3" t="s">
        <v>102</v>
      </c>
      <c r="G31" s="3" t="s">
        <v>103</v>
      </c>
    </row>
    <row r="32" spans="1:7" x14ac:dyDescent="0.3">
      <c r="A32" s="2" t="s">
        <v>104</v>
      </c>
      <c r="B32" s="2" t="s">
        <v>21</v>
      </c>
      <c r="C32" s="2" t="s">
        <v>9</v>
      </c>
      <c r="D32" s="2" t="s">
        <v>10</v>
      </c>
      <c r="E32" s="2" t="s">
        <v>11</v>
      </c>
      <c r="F32" s="2" t="s">
        <v>105</v>
      </c>
      <c r="G32" s="2" t="s">
        <v>106</v>
      </c>
    </row>
    <row r="33" spans="1:7" x14ac:dyDescent="0.3">
      <c r="A33" s="3" t="s">
        <v>107</v>
      </c>
      <c r="B33" s="3" t="s">
        <v>21</v>
      </c>
      <c r="C33" s="3" t="s">
        <v>9</v>
      </c>
      <c r="D33" s="3" t="s">
        <v>10</v>
      </c>
      <c r="E33" s="3" t="s">
        <v>11</v>
      </c>
      <c r="F33" s="3" t="s">
        <v>108</v>
      </c>
      <c r="G33" s="3" t="s">
        <v>23</v>
      </c>
    </row>
    <row r="34" spans="1:7" x14ac:dyDescent="0.3">
      <c r="A34" s="2" t="s">
        <v>109</v>
      </c>
      <c r="B34" s="2" t="s">
        <v>8</v>
      </c>
      <c r="C34" s="2" t="s">
        <v>9</v>
      </c>
      <c r="D34" s="2" t="s">
        <v>10</v>
      </c>
      <c r="E34" s="2" t="s">
        <v>11</v>
      </c>
      <c r="F34" s="2" t="s">
        <v>110</v>
      </c>
      <c r="G34" s="2" t="s">
        <v>111</v>
      </c>
    </row>
    <row r="35" spans="1:7" x14ac:dyDescent="0.3">
      <c r="A35" s="3" t="s">
        <v>112</v>
      </c>
      <c r="B35" s="3" t="s">
        <v>21</v>
      </c>
      <c r="C35" s="3" t="s">
        <v>9</v>
      </c>
      <c r="D35" s="3" t="s">
        <v>10</v>
      </c>
      <c r="E35" s="3" t="s">
        <v>11</v>
      </c>
      <c r="F35" s="3" t="s">
        <v>113</v>
      </c>
      <c r="G35" s="3" t="s">
        <v>13</v>
      </c>
    </row>
    <row r="36" spans="1:7" x14ac:dyDescent="0.3">
      <c r="A36" s="2" t="s">
        <v>114</v>
      </c>
      <c r="B36" s="2" t="s">
        <v>21</v>
      </c>
      <c r="C36" s="2" t="s">
        <v>9</v>
      </c>
      <c r="D36" s="2" t="s">
        <v>10</v>
      </c>
      <c r="E36" s="2" t="s">
        <v>11</v>
      </c>
      <c r="F36" s="2" t="s">
        <v>115</v>
      </c>
      <c r="G36" s="2" t="s">
        <v>116</v>
      </c>
    </row>
    <row r="37" spans="1:7" x14ac:dyDescent="0.3">
      <c r="A37" s="3" t="s">
        <v>117</v>
      </c>
      <c r="B37" s="3" t="s">
        <v>21</v>
      </c>
      <c r="C37" s="3" t="s">
        <v>9</v>
      </c>
      <c r="D37" s="3" t="s">
        <v>10</v>
      </c>
      <c r="E37" s="3" t="s">
        <v>11</v>
      </c>
      <c r="F37" s="3" t="s">
        <v>118</v>
      </c>
      <c r="G37" s="3" t="s">
        <v>119</v>
      </c>
    </row>
    <row r="38" spans="1:7" x14ac:dyDescent="0.3">
      <c r="A38" s="2" t="s">
        <v>120</v>
      </c>
      <c r="B38" s="2" t="s">
        <v>8</v>
      </c>
      <c r="C38" s="2" t="s">
        <v>9</v>
      </c>
      <c r="D38" s="2" t="s">
        <v>10</v>
      </c>
      <c r="E38" s="2" t="s">
        <v>11</v>
      </c>
      <c r="F38" s="2" t="s">
        <v>121</v>
      </c>
      <c r="G38" s="2" t="s">
        <v>122</v>
      </c>
    </row>
    <row r="39" spans="1:7" x14ac:dyDescent="0.3">
      <c r="A39" s="3" t="s">
        <v>123</v>
      </c>
      <c r="B39" s="3" t="s">
        <v>8</v>
      </c>
      <c r="C39" s="3" t="s">
        <v>9</v>
      </c>
      <c r="D39" s="3" t="s">
        <v>10</v>
      </c>
      <c r="E39" s="3" t="s">
        <v>11</v>
      </c>
      <c r="F39" s="3" t="s">
        <v>124</v>
      </c>
      <c r="G39" s="3" t="s">
        <v>125</v>
      </c>
    </row>
    <row r="40" spans="1:7" x14ac:dyDescent="0.3">
      <c r="A40" s="2" t="s">
        <v>126</v>
      </c>
      <c r="B40" s="2" t="s">
        <v>21</v>
      </c>
      <c r="C40" s="2" t="s">
        <v>9</v>
      </c>
      <c r="D40" s="2" t="s">
        <v>10</v>
      </c>
      <c r="E40" s="2" t="s">
        <v>11</v>
      </c>
      <c r="F40" s="2" t="s">
        <v>127</v>
      </c>
      <c r="G40" s="2" t="s">
        <v>128</v>
      </c>
    </row>
    <row r="41" spans="1:7" x14ac:dyDescent="0.3">
      <c r="A41" s="3" t="s">
        <v>129</v>
      </c>
      <c r="B41" s="3" t="s">
        <v>21</v>
      </c>
      <c r="C41" s="3" t="s">
        <v>9</v>
      </c>
      <c r="D41" s="3" t="s">
        <v>10</v>
      </c>
      <c r="E41" s="3" t="s">
        <v>11</v>
      </c>
      <c r="F41" s="3" t="s">
        <v>130</v>
      </c>
      <c r="G41" s="3" t="s">
        <v>128</v>
      </c>
    </row>
    <row r="42" spans="1:7" x14ac:dyDescent="0.3">
      <c r="A42" s="2" t="s">
        <v>131</v>
      </c>
      <c r="B42" s="2" t="s">
        <v>21</v>
      </c>
      <c r="C42" s="2" t="s">
        <v>9</v>
      </c>
      <c r="D42" s="2" t="s">
        <v>10</v>
      </c>
      <c r="E42" s="2" t="s">
        <v>11</v>
      </c>
      <c r="F42" s="2" t="s">
        <v>132</v>
      </c>
      <c r="G42" s="2" t="s">
        <v>133</v>
      </c>
    </row>
    <row r="43" spans="1:7" x14ac:dyDescent="0.3">
      <c r="A43" s="3" t="s">
        <v>134</v>
      </c>
      <c r="B43" s="3" t="s">
        <v>21</v>
      </c>
      <c r="C43" s="3" t="s">
        <v>9</v>
      </c>
      <c r="D43" s="3" t="s">
        <v>10</v>
      </c>
      <c r="E43" s="3" t="s">
        <v>11</v>
      </c>
      <c r="F43" s="3" t="s">
        <v>135</v>
      </c>
      <c r="G43" s="3" t="s">
        <v>136</v>
      </c>
    </row>
    <row r="44" spans="1:7" x14ac:dyDescent="0.3">
      <c r="A44" s="2" t="s">
        <v>137</v>
      </c>
      <c r="B44" s="2" t="s">
        <v>8</v>
      </c>
      <c r="C44" s="2" t="s">
        <v>9</v>
      </c>
      <c r="D44" s="2" t="s">
        <v>10</v>
      </c>
      <c r="E44" s="2" t="s">
        <v>11</v>
      </c>
      <c r="F44" s="2" t="s">
        <v>138</v>
      </c>
      <c r="G44" s="2" t="s">
        <v>139</v>
      </c>
    </row>
    <row r="45" spans="1:7" x14ac:dyDescent="0.3">
      <c r="A45" s="3" t="s">
        <v>140</v>
      </c>
      <c r="B45" s="3" t="s">
        <v>21</v>
      </c>
      <c r="C45" s="3" t="s">
        <v>9</v>
      </c>
      <c r="D45" s="3" t="s">
        <v>10</v>
      </c>
      <c r="E45" s="3" t="s">
        <v>11</v>
      </c>
      <c r="F45" s="3" t="s">
        <v>141</v>
      </c>
      <c r="G45" s="3" t="s">
        <v>142</v>
      </c>
    </row>
    <row r="46" spans="1:7" x14ac:dyDescent="0.3">
      <c r="A46" s="2" t="s">
        <v>143</v>
      </c>
      <c r="B46" s="2" t="s">
        <v>8</v>
      </c>
      <c r="C46" s="2" t="s">
        <v>9</v>
      </c>
      <c r="D46" s="2" t="s">
        <v>10</v>
      </c>
      <c r="E46" s="2" t="s">
        <v>11</v>
      </c>
      <c r="F46" s="2" t="s">
        <v>144</v>
      </c>
      <c r="G46" s="2" t="s">
        <v>145</v>
      </c>
    </row>
    <row r="47" spans="1:7" x14ac:dyDescent="0.3">
      <c r="A47" s="3" t="s">
        <v>146</v>
      </c>
      <c r="B47" s="3" t="s">
        <v>8</v>
      </c>
      <c r="C47" s="3" t="s">
        <v>9</v>
      </c>
      <c r="D47" s="3" t="s">
        <v>10</v>
      </c>
      <c r="E47" s="3" t="s">
        <v>11</v>
      </c>
      <c r="F47" s="3" t="s">
        <v>147</v>
      </c>
      <c r="G47" s="3" t="s">
        <v>148</v>
      </c>
    </row>
    <row r="48" spans="1:7" x14ac:dyDescent="0.3">
      <c r="A48" s="2" t="s">
        <v>149</v>
      </c>
      <c r="B48" s="2" t="s">
        <v>21</v>
      </c>
      <c r="C48" s="2" t="s">
        <v>9</v>
      </c>
      <c r="D48" s="2" t="s">
        <v>150</v>
      </c>
      <c r="E48" s="2" t="s">
        <v>151</v>
      </c>
      <c r="F48" s="2" t="s">
        <v>152</v>
      </c>
      <c r="G48" s="2" t="s">
        <v>153</v>
      </c>
    </row>
    <row r="49" spans="1:7" s="7" customFormat="1" x14ac:dyDescent="0.3">
      <c r="A49" s="6" t="s">
        <v>154</v>
      </c>
      <c r="B49" s="6" t="s">
        <v>8</v>
      </c>
      <c r="C49" s="6" t="s">
        <v>9</v>
      </c>
      <c r="D49" s="6" t="s">
        <v>10</v>
      </c>
      <c r="E49" s="6" t="s">
        <v>11</v>
      </c>
      <c r="F49" s="6" t="s">
        <v>155</v>
      </c>
      <c r="G49" s="6" t="s">
        <v>156</v>
      </c>
    </row>
    <row r="50" spans="1:7" x14ac:dyDescent="0.3">
      <c r="A50" s="2" t="s">
        <v>157</v>
      </c>
      <c r="B50" s="2" t="s">
        <v>21</v>
      </c>
      <c r="C50" s="2" t="s">
        <v>9</v>
      </c>
      <c r="D50" s="2" t="s">
        <v>10</v>
      </c>
      <c r="E50" s="2" t="s">
        <v>11</v>
      </c>
      <c r="F50" s="2" t="s">
        <v>158</v>
      </c>
      <c r="G50" s="2" t="s">
        <v>159</v>
      </c>
    </row>
    <row r="51" spans="1:7" x14ac:dyDescent="0.3">
      <c r="A51" s="3" t="s">
        <v>160</v>
      </c>
      <c r="B51" s="3" t="s">
        <v>21</v>
      </c>
      <c r="C51" s="3" t="s">
        <v>9</v>
      </c>
      <c r="D51" s="3" t="s">
        <v>10</v>
      </c>
      <c r="E51" s="3" t="s">
        <v>11</v>
      </c>
      <c r="F51" s="3" t="s">
        <v>161</v>
      </c>
      <c r="G51" s="3" t="s">
        <v>162</v>
      </c>
    </row>
    <row r="52" spans="1:7" s="11" customFormat="1" x14ac:dyDescent="0.3">
      <c r="A52" s="10" t="s">
        <v>163</v>
      </c>
      <c r="B52" s="10" t="s">
        <v>21</v>
      </c>
      <c r="C52" s="10" t="s">
        <v>9</v>
      </c>
      <c r="D52" s="10" t="s">
        <v>10</v>
      </c>
      <c r="E52" s="10" t="s">
        <v>11</v>
      </c>
      <c r="F52" s="10" t="s">
        <v>164</v>
      </c>
      <c r="G52" s="10" t="s">
        <v>165</v>
      </c>
    </row>
    <row r="53" spans="1:7" x14ac:dyDescent="0.3">
      <c r="A53" s="3" t="s">
        <v>166</v>
      </c>
      <c r="B53" s="3" t="s">
        <v>8</v>
      </c>
      <c r="C53" s="3" t="s">
        <v>9</v>
      </c>
      <c r="D53" s="3" t="s">
        <v>10</v>
      </c>
      <c r="E53" s="3" t="s">
        <v>11</v>
      </c>
      <c r="F53" s="3" t="s">
        <v>167</v>
      </c>
      <c r="G53" s="3" t="s">
        <v>168</v>
      </c>
    </row>
    <row r="54" spans="1:7" x14ac:dyDescent="0.3">
      <c r="A54" s="2" t="s">
        <v>169</v>
      </c>
      <c r="B54" s="2" t="s">
        <v>21</v>
      </c>
      <c r="C54" s="2" t="s">
        <v>9</v>
      </c>
      <c r="D54" s="2" t="s">
        <v>10</v>
      </c>
      <c r="E54" s="2" t="s">
        <v>11</v>
      </c>
      <c r="F54" s="2" t="s">
        <v>170</v>
      </c>
      <c r="G54" s="2" t="s">
        <v>171</v>
      </c>
    </row>
    <row r="55" spans="1:7" x14ac:dyDescent="0.3">
      <c r="A55" s="3" t="s">
        <v>172</v>
      </c>
      <c r="B55" s="3" t="s">
        <v>21</v>
      </c>
      <c r="C55" s="3" t="s">
        <v>9</v>
      </c>
      <c r="D55" s="3" t="s">
        <v>10</v>
      </c>
      <c r="E55" s="3" t="s">
        <v>11</v>
      </c>
      <c r="F55" s="3" t="s">
        <v>173</v>
      </c>
      <c r="G55" s="3" t="s">
        <v>174</v>
      </c>
    </row>
    <row r="56" spans="1:7" x14ac:dyDescent="0.3">
      <c r="A56" s="2" t="s">
        <v>175</v>
      </c>
      <c r="B56" s="2" t="s">
        <v>21</v>
      </c>
      <c r="C56" s="2" t="s">
        <v>9</v>
      </c>
      <c r="D56" s="2" t="s">
        <v>10</v>
      </c>
      <c r="E56" s="2" t="s">
        <v>11</v>
      </c>
      <c r="F56" s="2" t="s">
        <v>118</v>
      </c>
      <c r="G56" s="2" t="s">
        <v>176</v>
      </c>
    </row>
    <row r="57" spans="1:7" s="7" customFormat="1" x14ac:dyDescent="0.3">
      <c r="A57" s="6" t="s">
        <v>177</v>
      </c>
      <c r="B57" s="6" t="s">
        <v>8</v>
      </c>
      <c r="C57" s="6" t="s">
        <v>9</v>
      </c>
      <c r="D57" s="6" t="s">
        <v>10</v>
      </c>
      <c r="E57" s="6" t="s">
        <v>11</v>
      </c>
      <c r="F57" s="6" t="s">
        <v>178</v>
      </c>
      <c r="G57" s="6" t="s">
        <v>179</v>
      </c>
    </row>
    <row r="58" spans="1:7" x14ac:dyDescent="0.3">
      <c r="A58" s="2" t="s">
        <v>180</v>
      </c>
      <c r="B58" s="2" t="s">
        <v>8</v>
      </c>
      <c r="C58" s="2" t="s">
        <v>9</v>
      </c>
      <c r="D58" s="2" t="s">
        <v>10</v>
      </c>
      <c r="E58" s="2" t="s">
        <v>11</v>
      </c>
      <c r="F58" s="2" t="s">
        <v>181</v>
      </c>
      <c r="G58" s="2" t="s">
        <v>182</v>
      </c>
    </row>
    <row r="59" spans="1:7" x14ac:dyDescent="0.3">
      <c r="A59" s="3" t="s">
        <v>183</v>
      </c>
      <c r="B59" s="3" t="s">
        <v>8</v>
      </c>
      <c r="C59" s="3" t="s">
        <v>9</v>
      </c>
      <c r="D59" s="3" t="s">
        <v>10</v>
      </c>
      <c r="E59" s="3" t="s">
        <v>11</v>
      </c>
      <c r="F59" s="3" t="s">
        <v>184</v>
      </c>
      <c r="G59" s="3" t="s">
        <v>46</v>
      </c>
    </row>
    <row r="60" spans="1:7" x14ac:dyDescent="0.3">
      <c r="A60" s="2" t="s">
        <v>185</v>
      </c>
      <c r="B60" s="2" t="s">
        <v>21</v>
      </c>
      <c r="C60" s="2" t="s">
        <v>9</v>
      </c>
      <c r="D60" s="2" t="s">
        <v>10</v>
      </c>
      <c r="E60" s="2" t="s">
        <v>11</v>
      </c>
      <c r="F60" s="2" t="s">
        <v>186</v>
      </c>
      <c r="G60" s="2" t="s">
        <v>136</v>
      </c>
    </row>
    <row r="61" spans="1:7" x14ac:dyDescent="0.3">
      <c r="A61" s="3" t="s">
        <v>187</v>
      </c>
      <c r="B61" s="3" t="s">
        <v>21</v>
      </c>
      <c r="C61" s="3" t="s">
        <v>9</v>
      </c>
      <c r="D61" s="3" t="s">
        <v>10</v>
      </c>
      <c r="E61" s="3" t="s">
        <v>11</v>
      </c>
      <c r="F61" s="3" t="s">
        <v>188</v>
      </c>
      <c r="G61" s="3" t="s">
        <v>189</v>
      </c>
    </row>
    <row r="62" spans="1:7" s="5" customFormat="1" x14ac:dyDescent="0.3">
      <c r="A62" s="4" t="s">
        <v>190</v>
      </c>
      <c r="B62" s="4" t="s">
        <v>8</v>
      </c>
      <c r="C62" s="4" t="s">
        <v>9</v>
      </c>
      <c r="D62" s="4" t="s">
        <v>10</v>
      </c>
      <c r="E62" s="4" t="s">
        <v>11</v>
      </c>
      <c r="F62" s="4" t="s">
        <v>191</v>
      </c>
      <c r="G62" s="4" t="s">
        <v>192</v>
      </c>
    </row>
    <row r="63" spans="1:7" x14ac:dyDescent="0.3">
      <c r="A63" s="3" t="s">
        <v>193</v>
      </c>
      <c r="B63" s="3" t="s">
        <v>21</v>
      </c>
      <c r="C63" s="3" t="s">
        <v>9</v>
      </c>
      <c r="D63" s="3" t="s">
        <v>10</v>
      </c>
      <c r="E63" s="3" t="s">
        <v>11</v>
      </c>
      <c r="F63" s="3" t="s">
        <v>194</v>
      </c>
      <c r="G63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3"/>
  <sheetViews>
    <sheetView tabSelected="1" workbookViewId="0">
      <selection activeCell="H23" sqref="H23"/>
    </sheetView>
  </sheetViews>
  <sheetFormatPr defaultRowHeight="14.4" x14ac:dyDescent="0.3"/>
  <cols>
    <col min="1" max="1" width="13" customWidth="1"/>
    <col min="2" max="14" width="12" customWidth="1"/>
    <col min="15" max="15" width="15" customWidth="1"/>
  </cols>
  <sheetData>
    <row r="1" spans="1:15" x14ac:dyDescent="0.3">
      <c r="A1" s="1" t="s">
        <v>195</v>
      </c>
      <c r="B1" s="1" t="s">
        <v>3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</row>
    <row r="2" spans="1:15" x14ac:dyDescent="0.3">
      <c r="A2" s="2" t="s">
        <v>7</v>
      </c>
      <c r="B2" s="2" t="s">
        <v>10</v>
      </c>
      <c r="C2" s="12">
        <v>409</v>
      </c>
      <c r="D2" s="12">
        <v>350</v>
      </c>
      <c r="E2" s="12">
        <v>525</v>
      </c>
      <c r="F2" s="12">
        <v>557</v>
      </c>
      <c r="G2" s="12">
        <v>521</v>
      </c>
      <c r="H2" s="12">
        <v>477</v>
      </c>
      <c r="I2" s="12">
        <v>316</v>
      </c>
      <c r="J2" s="12">
        <v>280</v>
      </c>
      <c r="K2" s="12">
        <v>291</v>
      </c>
      <c r="L2" s="12">
        <v>304</v>
      </c>
      <c r="M2" s="12">
        <v>312</v>
      </c>
      <c r="N2" s="12">
        <v>512</v>
      </c>
      <c r="O2">
        <f>LARGE(C2:N2,1)-LARGE(C2:N2,2)</f>
        <v>32</v>
      </c>
    </row>
    <row r="3" spans="1:15" x14ac:dyDescent="0.3">
      <c r="A3" s="3" t="s">
        <v>14</v>
      </c>
      <c r="B3" s="3" t="s">
        <v>10</v>
      </c>
      <c r="C3" s="14">
        <v>1081</v>
      </c>
      <c r="D3" s="14">
        <v>1036</v>
      </c>
      <c r="E3" s="14">
        <v>1110</v>
      </c>
      <c r="F3" s="14">
        <v>1115</v>
      </c>
      <c r="G3" s="14">
        <v>1127</v>
      </c>
      <c r="H3" s="14">
        <v>1226</v>
      </c>
      <c r="I3" s="13">
        <v>749</v>
      </c>
      <c r="J3" s="13">
        <v>700</v>
      </c>
      <c r="K3" s="13">
        <v>577</v>
      </c>
      <c r="L3" s="13">
        <v>639</v>
      </c>
      <c r="M3" s="13">
        <v>719</v>
      </c>
      <c r="N3" s="13">
        <v>801</v>
      </c>
      <c r="O3">
        <f t="shared" ref="O3:O62" si="0">LARGE(C3:N3,1)-LARGE(C3:N3,2)</f>
        <v>99</v>
      </c>
    </row>
    <row r="4" spans="1:15" x14ac:dyDescent="0.3">
      <c r="A4" s="2" t="s">
        <v>17</v>
      </c>
      <c r="B4" s="6" t="s">
        <v>10</v>
      </c>
      <c r="C4" s="12">
        <v>378</v>
      </c>
      <c r="D4" s="12">
        <v>382</v>
      </c>
      <c r="E4" s="12">
        <v>100</v>
      </c>
      <c r="F4" s="12">
        <v>371</v>
      </c>
      <c r="G4" s="12">
        <v>381</v>
      </c>
      <c r="H4" s="12">
        <v>377</v>
      </c>
      <c r="I4" s="12">
        <v>368</v>
      </c>
      <c r="J4" s="12">
        <v>374</v>
      </c>
      <c r="K4" s="12">
        <v>380</v>
      </c>
      <c r="L4" s="12">
        <v>374</v>
      </c>
      <c r="M4" s="12">
        <v>368</v>
      </c>
      <c r="N4" s="12">
        <v>353</v>
      </c>
      <c r="O4">
        <f t="shared" si="0"/>
        <v>1</v>
      </c>
    </row>
    <row r="5" spans="1:15" x14ac:dyDescent="0.3">
      <c r="A5" s="3" t="s">
        <v>20</v>
      </c>
      <c r="B5" s="3" t="s">
        <v>10</v>
      </c>
      <c r="C5" s="13">
        <v>222</v>
      </c>
      <c r="D5" s="13">
        <v>216</v>
      </c>
      <c r="E5" s="13">
        <v>279</v>
      </c>
      <c r="F5" s="13">
        <v>233</v>
      </c>
      <c r="G5" s="13">
        <v>236</v>
      </c>
      <c r="H5" s="13">
        <v>240</v>
      </c>
      <c r="I5" s="13">
        <v>209</v>
      </c>
      <c r="J5" s="13">
        <v>182</v>
      </c>
      <c r="K5" s="13">
        <v>194</v>
      </c>
      <c r="L5" s="13">
        <v>224</v>
      </c>
      <c r="M5" s="13">
        <v>196</v>
      </c>
      <c r="N5" s="13">
        <v>197</v>
      </c>
      <c r="O5">
        <f t="shared" si="0"/>
        <v>39</v>
      </c>
    </row>
    <row r="6" spans="1:15" x14ac:dyDescent="0.3">
      <c r="A6" s="2" t="s">
        <v>24</v>
      </c>
      <c r="B6" s="6" t="s">
        <v>10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>
        <f t="shared" si="0"/>
        <v>0</v>
      </c>
    </row>
    <row r="7" spans="1:15" x14ac:dyDescent="0.3">
      <c r="A7" s="3" t="s">
        <v>27</v>
      </c>
      <c r="B7" s="3" t="s">
        <v>10</v>
      </c>
      <c r="C7" s="14">
        <v>2246</v>
      </c>
      <c r="D7" s="14">
        <v>1407</v>
      </c>
      <c r="E7" s="14">
        <v>1390</v>
      </c>
      <c r="F7" s="14">
        <v>1766</v>
      </c>
      <c r="G7" s="14">
        <v>1799</v>
      </c>
      <c r="H7" s="14">
        <v>1806</v>
      </c>
      <c r="I7" s="14">
        <v>1753</v>
      </c>
      <c r="J7" s="14">
        <v>1229</v>
      </c>
      <c r="K7" s="14">
        <v>1809</v>
      </c>
      <c r="L7" s="14">
        <v>1712</v>
      </c>
      <c r="M7" s="14">
        <v>2022</v>
      </c>
      <c r="N7" s="14">
        <v>1747</v>
      </c>
      <c r="O7">
        <f t="shared" si="0"/>
        <v>224</v>
      </c>
    </row>
    <row r="8" spans="1:15" x14ac:dyDescent="0.3">
      <c r="A8" s="2" t="s">
        <v>30</v>
      </c>
      <c r="B8" s="2" t="s">
        <v>10</v>
      </c>
      <c r="C8" s="15">
        <v>8495</v>
      </c>
      <c r="D8" s="15">
        <v>8508</v>
      </c>
      <c r="E8" s="15">
        <v>8180</v>
      </c>
      <c r="F8" s="15">
        <v>9430</v>
      </c>
      <c r="G8" s="15">
        <v>8913</v>
      </c>
      <c r="H8" s="15">
        <v>8967</v>
      </c>
      <c r="I8" s="15">
        <v>7071</v>
      </c>
      <c r="J8" s="15">
        <v>6705</v>
      </c>
      <c r="K8" s="15">
        <v>6486</v>
      </c>
      <c r="L8" s="15">
        <v>6748</v>
      </c>
      <c r="M8" s="15">
        <v>7762</v>
      </c>
      <c r="N8" s="15">
        <v>7307</v>
      </c>
      <c r="O8">
        <f t="shared" si="0"/>
        <v>463</v>
      </c>
    </row>
    <row r="9" spans="1:15" x14ac:dyDescent="0.3">
      <c r="A9" s="3" t="s">
        <v>33</v>
      </c>
      <c r="B9" s="8" t="s">
        <v>10</v>
      </c>
      <c r="C9" s="13">
        <v>10</v>
      </c>
      <c r="D9" s="13">
        <v>10</v>
      </c>
      <c r="E9" s="13">
        <v>11</v>
      </c>
      <c r="F9" s="13">
        <v>12</v>
      </c>
      <c r="G9" s="13">
        <v>7</v>
      </c>
      <c r="H9" s="13">
        <v>11</v>
      </c>
      <c r="I9" s="13">
        <v>8</v>
      </c>
      <c r="J9" s="13">
        <v>6</v>
      </c>
      <c r="K9" s="13">
        <v>5</v>
      </c>
      <c r="L9" s="13">
        <v>6</v>
      </c>
      <c r="M9" s="13">
        <v>5</v>
      </c>
      <c r="N9" s="13">
        <v>5</v>
      </c>
      <c r="O9">
        <f t="shared" si="0"/>
        <v>1</v>
      </c>
    </row>
    <row r="10" spans="1:15" x14ac:dyDescent="0.3">
      <c r="A10" s="2" t="s">
        <v>36</v>
      </c>
      <c r="B10" s="2" t="s">
        <v>10</v>
      </c>
      <c r="C10" s="15">
        <v>1179</v>
      </c>
      <c r="D10" s="12">
        <v>510</v>
      </c>
      <c r="E10" s="12">
        <v>793</v>
      </c>
      <c r="F10" s="15">
        <v>1348</v>
      </c>
      <c r="G10" s="15">
        <v>1316</v>
      </c>
      <c r="H10" s="15">
        <v>1269</v>
      </c>
      <c r="I10" s="12">
        <v>995</v>
      </c>
      <c r="J10" s="12">
        <v>695</v>
      </c>
      <c r="K10" s="12">
        <v>826</v>
      </c>
      <c r="L10" s="12">
        <v>894</v>
      </c>
      <c r="M10" s="12">
        <v>974</v>
      </c>
      <c r="N10" s="15">
        <v>1196</v>
      </c>
      <c r="O10">
        <f t="shared" si="0"/>
        <v>32</v>
      </c>
    </row>
    <row r="11" spans="1:15" x14ac:dyDescent="0.3">
      <c r="A11" s="3" t="s">
        <v>39</v>
      </c>
      <c r="B11" s="3" t="s">
        <v>40</v>
      </c>
      <c r="C11" s="14">
        <v>1646</v>
      </c>
      <c r="D11" s="14">
        <v>1775</v>
      </c>
      <c r="E11" s="14">
        <v>1894</v>
      </c>
      <c r="F11" s="14">
        <v>1523</v>
      </c>
      <c r="G11" s="14">
        <v>1764</v>
      </c>
      <c r="H11" s="14">
        <v>1558</v>
      </c>
      <c r="I11" s="14">
        <v>1741</v>
      </c>
      <c r="J11" s="14">
        <v>1823</v>
      </c>
      <c r="K11" s="14">
        <v>1445</v>
      </c>
      <c r="L11" s="14">
        <v>1589</v>
      </c>
      <c r="M11" s="14">
        <v>2129</v>
      </c>
      <c r="N11" s="14">
        <v>1923</v>
      </c>
      <c r="O11">
        <f t="shared" si="0"/>
        <v>206</v>
      </c>
    </row>
    <row r="12" spans="1:15" x14ac:dyDescent="0.3">
      <c r="A12" s="2" t="s">
        <v>44</v>
      </c>
      <c r="B12" s="6" t="s">
        <v>10</v>
      </c>
      <c r="C12" s="12">
        <v>53</v>
      </c>
      <c r="D12" s="12">
        <v>136</v>
      </c>
      <c r="E12" s="12">
        <v>97</v>
      </c>
      <c r="F12" s="12">
        <v>92</v>
      </c>
      <c r="G12" s="12">
        <v>51</v>
      </c>
      <c r="H12" s="12">
        <v>90</v>
      </c>
      <c r="I12" s="12">
        <v>141</v>
      </c>
      <c r="J12" s="12">
        <v>150</v>
      </c>
      <c r="K12" s="12">
        <v>133</v>
      </c>
      <c r="L12" s="12">
        <v>138</v>
      </c>
      <c r="M12" s="12">
        <v>125</v>
      </c>
      <c r="N12" s="12">
        <v>116</v>
      </c>
      <c r="O12">
        <f t="shared" si="0"/>
        <v>9</v>
      </c>
    </row>
    <row r="13" spans="1:15" x14ac:dyDescent="0.3">
      <c r="A13" s="3" t="s">
        <v>47</v>
      </c>
      <c r="B13" s="3" t="s">
        <v>10</v>
      </c>
      <c r="C13" s="13">
        <v>412</v>
      </c>
      <c r="D13" s="13">
        <v>660</v>
      </c>
      <c r="E13" s="13">
        <v>14</v>
      </c>
      <c r="F13" s="13">
        <v>20</v>
      </c>
      <c r="G13" s="13">
        <v>113</v>
      </c>
      <c r="H13" s="13">
        <v>17</v>
      </c>
      <c r="I13" s="13">
        <v>15</v>
      </c>
      <c r="J13" s="13">
        <v>7</v>
      </c>
      <c r="K13" s="13">
        <v>19</v>
      </c>
      <c r="L13" s="13">
        <v>82</v>
      </c>
      <c r="M13" s="13">
        <v>8</v>
      </c>
      <c r="N13" s="13">
        <v>193</v>
      </c>
      <c r="O13">
        <f t="shared" si="0"/>
        <v>248</v>
      </c>
    </row>
    <row r="14" spans="1:15" x14ac:dyDescent="0.3">
      <c r="A14" s="2" t="s">
        <v>50</v>
      </c>
      <c r="B14" s="2" t="s">
        <v>10</v>
      </c>
      <c r="C14" s="15">
        <v>2076</v>
      </c>
      <c r="D14" s="12">
        <v>700</v>
      </c>
      <c r="E14" s="12">
        <v>977</v>
      </c>
      <c r="F14" s="15">
        <v>1821</v>
      </c>
      <c r="G14" s="15">
        <v>2026</v>
      </c>
      <c r="H14" s="15">
        <v>2072</v>
      </c>
      <c r="I14" s="15">
        <v>2282</v>
      </c>
      <c r="J14" s="15">
        <v>2069</v>
      </c>
      <c r="K14" s="15">
        <v>1695</v>
      </c>
      <c r="L14" s="15">
        <v>1743</v>
      </c>
      <c r="M14" s="15">
        <v>1539</v>
      </c>
      <c r="N14" s="15">
        <v>2170</v>
      </c>
      <c r="O14">
        <f t="shared" si="0"/>
        <v>112</v>
      </c>
    </row>
    <row r="15" spans="1:15" x14ac:dyDescent="0.3">
      <c r="A15" s="3" t="s">
        <v>53</v>
      </c>
      <c r="B15" s="3" t="s">
        <v>10</v>
      </c>
      <c r="C15" s="13">
        <v>191</v>
      </c>
      <c r="D15" s="13">
        <v>185</v>
      </c>
      <c r="E15" s="13">
        <v>447</v>
      </c>
      <c r="F15" s="13">
        <v>344</v>
      </c>
      <c r="G15" s="13">
        <v>273</v>
      </c>
      <c r="H15" s="13">
        <v>384</v>
      </c>
      <c r="I15" s="13">
        <v>249</v>
      </c>
      <c r="J15" s="13">
        <v>223</v>
      </c>
      <c r="K15" s="13">
        <v>142</v>
      </c>
      <c r="L15" s="13">
        <v>215</v>
      </c>
      <c r="M15" s="13">
        <v>147</v>
      </c>
      <c r="N15" s="13">
        <v>200</v>
      </c>
      <c r="O15">
        <f t="shared" si="0"/>
        <v>63</v>
      </c>
    </row>
    <row r="16" spans="1:15" x14ac:dyDescent="0.3">
      <c r="A16" s="2" t="s">
        <v>56</v>
      </c>
      <c r="B16" s="2" t="s">
        <v>10</v>
      </c>
      <c r="C16" s="12">
        <v>273</v>
      </c>
      <c r="D16" s="12">
        <v>272</v>
      </c>
      <c r="E16" s="12">
        <v>287</v>
      </c>
      <c r="F16" s="12">
        <v>202</v>
      </c>
      <c r="G16" s="12">
        <v>223</v>
      </c>
      <c r="H16" s="12">
        <v>241</v>
      </c>
      <c r="I16" s="12">
        <v>252</v>
      </c>
      <c r="J16" s="12">
        <v>257</v>
      </c>
      <c r="K16" s="12">
        <v>287</v>
      </c>
      <c r="L16" s="12">
        <v>258</v>
      </c>
      <c r="M16" s="12">
        <v>325</v>
      </c>
      <c r="N16" s="12">
        <v>340</v>
      </c>
      <c r="O16">
        <f t="shared" si="0"/>
        <v>15</v>
      </c>
    </row>
    <row r="17" spans="1:15" x14ac:dyDescent="0.3">
      <c r="A17" s="3" t="s">
        <v>59</v>
      </c>
      <c r="B17" s="3" t="s">
        <v>10</v>
      </c>
      <c r="C17" s="14">
        <v>1026</v>
      </c>
      <c r="D17" s="13">
        <v>715</v>
      </c>
      <c r="E17" s="14">
        <v>1017</v>
      </c>
      <c r="F17" s="13">
        <v>986</v>
      </c>
      <c r="G17" s="14">
        <v>1291</v>
      </c>
      <c r="H17" s="14">
        <v>1310</v>
      </c>
      <c r="I17" s="14">
        <v>1186</v>
      </c>
      <c r="J17" s="14">
        <v>1040</v>
      </c>
      <c r="K17" s="14">
        <v>1008</v>
      </c>
      <c r="L17" s="14">
        <v>1154</v>
      </c>
      <c r="M17" s="14">
        <v>1091</v>
      </c>
      <c r="N17" s="14">
        <v>1194</v>
      </c>
      <c r="O17">
        <f t="shared" si="0"/>
        <v>19</v>
      </c>
    </row>
    <row r="18" spans="1:15" x14ac:dyDescent="0.3">
      <c r="A18" s="2" t="s">
        <v>62</v>
      </c>
      <c r="B18" s="2" t="s">
        <v>10</v>
      </c>
      <c r="C18" s="12">
        <v>374</v>
      </c>
      <c r="D18" s="12">
        <v>192</v>
      </c>
      <c r="E18" s="12">
        <v>271</v>
      </c>
      <c r="F18" s="12">
        <v>265</v>
      </c>
      <c r="G18" s="12">
        <v>273</v>
      </c>
      <c r="H18" s="12">
        <v>259</v>
      </c>
      <c r="I18" s="12">
        <v>223</v>
      </c>
      <c r="J18" s="12">
        <v>159</v>
      </c>
      <c r="K18" s="12">
        <v>169</v>
      </c>
      <c r="L18" s="12">
        <v>209</v>
      </c>
      <c r="M18" s="12">
        <v>213</v>
      </c>
      <c r="N18" s="12">
        <v>215</v>
      </c>
      <c r="O18">
        <f t="shared" si="0"/>
        <v>101</v>
      </c>
    </row>
    <row r="19" spans="1:15" x14ac:dyDescent="0.3">
      <c r="A19" s="3" t="s">
        <v>65</v>
      </c>
      <c r="B19" s="3" t="s">
        <v>10</v>
      </c>
      <c r="C19" s="14">
        <v>1879</v>
      </c>
      <c r="D19" s="14">
        <v>1143</v>
      </c>
      <c r="E19" s="14">
        <v>1566</v>
      </c>
      <c r="F19" s="14">
        <v>1085</v>
      </c>
      <c r="G19" s="14">
        <v>1171</v>
      </c>
      <c r="H19" s="13">
        <v>914</v>
      </c>
      <c r="I19" s="13">
        <v>464</v>
      </c>
      <c r="J19" s="13">
        <v>630</v>
      </c>
      <c r="K19" s="13">
        <v>648</v>
      </c>
      <c r="L19" s="14">
        <v>1140</v>
      </c>
      <c r="M19" s="14">
        <v>1817</v>
      </c>
      <c r="N19" s="14">
        <v>1619</v>
      </c>
      <c r="O19">
        <f t="shared" si="0"/>
        <v>62</v>
      </c>
    </row>
    <row r="20" spans="1:15" x14ac:dyDescent="0.3">
      <c r="A20" s="2" t="s">
        <v>68</v>
      </c>
      <c r="B20" s="2" t="s">
        <v>10</v>
      </c>
      <c r="C20" s="15">
        <v>1384</v>
      </c>
      <c r="D20" s="15">
        <v>1260</v>
      </c>
      <c r="E20" s="15">
        <v>1379</v>
      </c>
      <c r="F20" s="15">
        <v>1390</v>
      </c>
      <c r="G20" s="15">
        <v>1576</v>
      </c>
      <c r="H20" s="15">
        <v>1453</v>
      </c>
      <c r="I20" s="15">
        <v>1310</v>
      </c>
      <c r="J20" s="15">
        <v>1066</v>
      </c>
      <c r="K20" s="12">
        <v>849</v>
      </c>
      <c r="L20" s="12">
        <v>961</v>
      </c>
      <c r="M20" s="15">
        <v>1082</v>
      </c>
      <c r="N20" s="15">
        <v>1070</v>
      </c>
      <c r="O20">
        <f t="shared" si="0"/>
        <v>123</v>
      </c>
    </row>
    <row r="21" spans="1:15" x14ac:dyDescent="0.3">
      <c r="A21" s="3" t="s">
        <v>71</v>
      </c>
      <c r="B21" s="3" t="s">
        <v>10</v>
      </c>
      <c r="C21" s="14">
        <v>1507</v>
      </c>
      <c r="D21" s="14">
        <v>1502</v>
      </c>
      <c r="E21" s="14">
        <v>1595</v>
      </c>
      <c r="F21" s="14">
        <v>1532</v>
      </c>
      <c r="G21" s="14">
        <v>1792</v>
      </c>
      <c r="H21" s="14">
        <v>1704</v>
      </c>
      <c r="I21" s="14">
        <v>1667</v>
      </c>
      <c r="J21" s="14">
        <v>1340</v>
      </c>
      <c r="K21" s="14">
        <v>1236</v>
      </c>
      <c r="L21" s="14">
        <v>1402</v>
      </c>
      <c r="M21" s="14">
        <v>1328</v>
      </c>
      <c r="N21" s="14">
        <v>1394</v>
      </c>
      <c r="O21">
        <f t="shared" si="0"/>
        <v>88</v>
      </c>
    </row>
    <row r="22" spans="1:15" x14ac:dyDescent="0.3">
      <c r="A22" s="2" t="s">
        <v>74</v>
      </c>
      <c r="B22" s="2" t="s">
        <v>10</v>
      </c>
      <c r="C22" s="12">
        <v>785</v>
      </c>
      <c r="D22" s="15">
        <v>1139</v>
      </c>
      <c r="E22" s="12">
        <v>818</v>
      </c>
      <c r="F22" s="12">
        <v>696</v>
      </c>
      <c r="G22" s="12">
        <v>530</v>
      </c>
      <c r="H22" s="12">
        <v>443</v>
      </c>
      <c r="I22" s="12">
        <v>429</v>
      </c>
      <c r="J22" s="12">
        <v>468</v>
      </c>
      <c r="K22" s="12">
        <v>431</v>
      </c>
      <c r="L22" s="12">
        <v>435</v>
      </c>
      <c r="M22" s="12">
        <v>447</v>
      </c>
      <c r="N22" s="12">
        <v>370</v>
      </c>
      <c r="O22">
        <f t="shared" si="0"/>
        <v>321</v>
      </c>
    </row>
    <row r="23" spans="1:15" x14ac:dyDescent="0.3">
      <c r="A23" s="3" t="s">
        <v>77</v>
      </c>
      <c r="B23" s="3" t="s">
        <v>10</v>
      </c>
      <c r="C23" s="13">
        <v>773</v>
      </c>
      <c r="D23" s="13">
        <v>775</v>
      </c>
      <c r="E23" s="13">
        <v>990</v>
      </c>
      <c r="F23" s="13">
        <v>963</v>
      </c>
      <c r="G23" s="13">
        <v>958</v>
      </c>
      <c r="H23" s="14">
        <v>1011</v>
      </c>
      <c r="I23" s="13">
        <v>779</v>
      </c>
      <c r="J23" s="13">
        <v>624</v>
      </c>
      <c r="K23" s="13">
        <v>735</v>
      </c>
      <c r="L23" s="13">
        <v>745</v>
      </c>
      <c r="M23" s="13">
        <v>804</v>
      </c>
      <c r="N23" s="13">
        <v>830</v>
      </c>
      <c r="O23">
        <f>LARGE(C23:N23,1)-LARGE(C23:N23,2)</f>
        <v>21</v>
      </c>
    </row>
    <row r="24" spans="1:15" x14ac:dyDescent="0.3">
      <c r="A24" s="2" t="s">
        <v>80</v>
      </c>
      <c r="B24" s="2" t="s">
        <v>10</v>
      </c>
      <c r="C24" s="12">
        <v>135</v>
      </c>
      <c r="D24" s="12">
        <v>87</v>
      </c>
      <c r="E24" s="12">
        <v>90</v>
      </c>
      <c r="F24" s="12">
        <v>164</v>
      </c>
      <c r="G24" s="12">
        <v>209</v>
      </c>
      <c r="H24" s="12">
        <v>179</v>
      </c>
      <c r="I24" s="12">
        <v>180</v>
      </c>
      <c r="J24" s="12">
        <v>191</v>
      </c>
      <c r="K24" s="12">
        <v>170</v>
      </c>
      <c r="L24" s="12">
        <v>225</v>
      </c>
      <c r="M24" s="12">
        <v>148</v>
      </c>
      <c r="N24" s="12">
        <v>147</v>
      </c>
      <c r="O24">
        <f t="shared" si="0"/>
        <v>16</v>
      </c>
    </row>
    <row r="25" spans="1:15" x14ac:dyDescent="0.3">
      <c r="A25" s="3" t="s">
        <v>83</v>
      </c>
      <c r="B25" s="3" t="s">
        <v>10</v>
      </c>
      <c r="C25" s="13">
        <v>776</v>
      </c>
      <c r="D25" s="13">
        <v>843</v>
      </c>
      <c r="E25" s="13">
        <v>686</v>
      </c>
      <c r="F25" s="13">
        <v>764</v>
      </c>
      <c r="G25" s="13">
        <v>782</v>
      </c>
      <c r="H25" s="13">
        <v>825</v>
      </c>
      <c r="I25" s="13">
        <v>754</v>
      </c>
      <c r="J25" s="13">
        <v>756</v>
      </c>
      <c r="K25" s="13">
        <v>801</v>
      </c>
      <c r="L25" s="13">
        <v>746</v>
      </c>
      <c r="M25" s="13">
        <v>801</v>
      </c>
      <c r="N25" s="13">
        <v>726</v>
      </c>
      <c r="O25">
        <f t="shared" si="0"/>
        <v>18</v>
      </c>
    </row>
    <row r="26" spans="1:15" x14ac:dyDescent="0.3">
      <c r="A26" s="2" t="s">
        <v>86</v>
      </c>
      <c r="B26" s="2" t="s">
        <v>10</v>
      </c>
      <c r="C26" s="12">
        <v>30</v>
      </c>
      <c r="D26" s="12">
        <v>4</v>
      </c>
      <c r="E26" s="12">
        <v>8</v>
      </c>
      <c r="F26" s="12">
        <v>6</v>
      </c>
      <c r="G26" s="12">
        <v>5</v>
      </c>
      <c r="H26" s="12">
        <v>22</v>
      </c>
      <c r="I26" s="12">
        <v>11</v>
      </c>
      <c r="J26" s="12">
        <v>26</v>
      </c>
      <c r="K26" s="12">
        <v>6</v>
      </c>
      <c r="L26" s="12">
        <v>12</v>
      </c>
      <c r="M26" s="12">
        <v>9</v>
      </c>
      <c r="N26" s="12">
        <v>7</v>
      </c>
      <c r="O26">
        <f t="shared" si="0"/>
        <v>4</v>
      </c>
    </row>
    <row r="27" spans="1:15" x14ac:dyDescent="0.3">
      <c r="A27" s="3" t="s">
        <v>89</v>
      </c>
      <c r="B27" s="3" t="s">
        <v>10</v>
      </c>
      <c r="C27" s="13">
        <v>795</v>
      </c>
      <c r="D27" s="14">
        <v>1153</v>
      </c>
      <c r="E27" s="13">
        <v>458</v>
      </c>
      <c r="F27" s="13">
        <v>793</v>
      </c>
      <c r="G27" s="13">
        <v>537</v>
      </c>
      <c r="H27" s="13">
        <v>447</v>
      </c>
      <c r="I27" s="13">
        <v>433</v>
      </c>
      <c r="J27" s="13">
        <v>471</v>
      </c>
      <c r="K27" s="13">
        <v>436</v>
      </c>
      <c r="L27" s="13">
        <v>440</v>
      </c>
      <c r="M27" s="13">
        <v>451</v>
      </c>
      <c r="N27" s="13">
        <v>373</v>
      </c>
      <c r="O27">
        <f t="shared" si="0"/>
        <v>358</v>
      </c>
    </row>
    <row r="28" spans="1:15" x14ac:dyDescent="0.3">
      <c r="A28" s="2" t="s">
        <v>92</v>
      </c>
      <c r="B28" s="2" t="s">
        <v>10</v>
      </c>
      <c r="C28" s="12">
        <v>416</v>
      </c>
      <c r="D28" s="12">
        <v>566</v>
      </c>
      <c r="E28" s="12">
        <v>455</v>
      </c>
      <c r="F28" s="12">
        <v>401</v>
      </c>
      <c r="G28" s="12">
        <v>437</v>
      </c>
      <c r="H28" s="12">
        <v>530</v>
      </c>
      <c r="I28" s="12">
        <v>561</v>
      </c>
      <c r="J28" s="12">
        <v>590</v>
      </c>
      <c r="K28" s="12">
        <v>536</v>
      </c>
      <c r="L28" s="12">
        <v>515</v>
      </c>
      <c r="M28" s="12">
        <v>445</v>
      </c>
      <c r="N28" s="12">
        <v>243</v>
      </c>
      <c r="O28">
        <f t="shared" si="0"/>
        <v>24</v>
      </c>
    </row>
    <row r="29" spans="1:15" x14ac:dyDescent="0.3">
      <c r="A29" s="3" t="s">
        <v>95</v>
      </c>
      <c r="B29" s="10" t="s">
        <v>10</v>
      </c>
      <c r="C29" s="13">
        <v>380</v>
      </c>
      <c r="D29" s="13">
        <v>387</v>
      </c>
      <c r="E29" s="13">
        <v>389</v>
      </c>
      <c r="F29" s="13">
        <v>338</v>
      </c>
      <c r="G29" s="13">
        <v>369</v>
      </c>
      <c r="H29" s="13">
        <v>391</v>
      </c>
      <c r="I29" s="13">
        <v>372</v>
      </c>
      <c r="J29" s="13">
        <v>373</v>
      </c>
      <c r="K29" s="13">
        <v>986</v>
      </c>
      <c r="L29" s="13">
        <v>968</v>
      </c>
      <c r="M29" s="14">
        <v>1068</v>
      </c>
      <c r="N29" s="14">
        <v>1223</v>
      </c>
      <c r="O29">
        <f t="shared" si="0"/>
        <v>155</v>
      </c>
    </row>
    <row r="30" spans="1:15" x14ac:dyDescent="0.3">
      <c r="A30" s="2" t="s">
        <v>98</v>
      </c>
      <c r="B30" s="2" t="s">
        <v>10</v>
      </c>
      <c r="C30" s="15">
        <v>2098</v>
      </c>
      <c r="D30" s="15">
        <v>1192</v>
      </c>
      <c r="E30" s="15">
        <v>1542</v>
      </c>
      <c r="F30" s="15">
        <v>2345</v>
      </c>
      <c r="G30" s="15">
        <v>2493</v>
      </c>
      <c r="H30" s="15">
        <v>2530</v>
      </c>
      <c r="I30" s="15">
        <v>2230</v>
      </c>
      <c r="J30" s="15">
        <v>1235</v>
      </c>
      <c r="K30" s="15">
        <v>2141</v>
      </c>
      <c r="L30" s="15">
        <v>2143</v>
      </c>
      <c r="M30" s="15">
        <v>1805</v>
      </c>
      <c r="N30" s="15">
        <v>1942</v>
      </c>
      <c r="O30">
        <f t="shared" si="0"/>
        <v>37</v>
      </c>
    </row>
    <row r="31" spans="1:15" x14ac:dyDescent="0.3">
      <c r="A31" s="3" t="s">
        <v>101</v>
      </c>
      <c r="B31" s="3" t="s">
        <v>10</v>
      </c>
      <c r="C31" s="13">
        <v>260</v>
      </c>
      <c r="D31" s="13">
        <v>271</v>
      </c>
      <c r="E31" s="13">
        <v>242</v>
      </c>
      <c r="F31" s="13">
        <v>258</v>
      </c>
      <c r="G31" s="13">
        <v>227</v>
      </c>
      <c r="H31" s="13">
        <v>255</v>
      </c>
      <c r="I31" s="13">
        <v>206</v>
      </c>
      <c r="J31" s="13">
        <v>215</v>
      </c>
      <c r="K31" s="13">
        <v>202</v>
      </c>
      <c r="L31" s="13">
        <v>209</v>
      </c>
      <c r="M31" s="13">
        <v>240</v>
      </c>
      <c r="N31" s="13">
        <v>221</v>
      </c>
      <c r="O31">
        <f t="shared" si="0"/>
        <v>11</v>
      </c>
    </row>
    <row r="32" spans="1:15" x14ac:dyDescent="0.3">
      <c r="A32" s="2" t="s">
        <v>104</v>
      </c>
      <c r="B32" s="2" t="s">
        <v>10</v>
      </c>
      <c r="C32" s="12">
        <v>137</v>
      </c>
      <c r="D32" s="12">
        <v>133</v>
      </c>
      <c r="E32" s="12">
        <v>133</v>
      </c>
      <c r="F32" s="12">
        <v>104</v>
      </c>
      <c r="G32" s="12">
        <v>107</v>
      </c>
      <c r="H32" s="12">
        <v>107</v>
      </c>
      <c r="I32" s="12">
        <v>99</v>
      </c>
      <c r="J32" s="12">
        <v>97</v>
      </c>
      <c r="K32" s="12">
        <v>106</v>
      </c>
      <c r="L32" s="12">
        <v>107</v>
      </c>
      <c r="M32" s="12">
        <v>113</v>
      </c>
      <c r="N32" s="12">
        <v>107</v>
      </c>
      <c r="O32">
        <f t="shared" si="0"/>
        <v>4</v>
      </c>
    </row>
    <row r="33" spans="1:15" x14ac:dyDescent="0.3">
      <c r="A33" s="3" t="s">
        <v>107</v>
      </c>
      <c r="B33" s="3" t="s">
        <v>10</v>
      </c>
      <c r="C33" s="13">
        <v>588</v>
      </c>
      <c r="D33" s="13">
        <v>410</v>
      </c>
      <c r="E33" s="13">
        <v>444</v>
      </c>
      <c r="F33" s="13">
        <v>487</v>
      </c>
      <c r="G33" s="13">
        <v>529</v>
      </c>
      <c r="H33" s="13">
        <v>503</v>
      </c>
      <c r="I33" s="13">
        <v>477</v>
      </c>
      <c r="J33" s="13">
        <v>269</v>
      </c>
      <c r="K33" s="13">
        <v>265</v>
      </c>
      <c r="L33" s="13">
        <v>472</v>
      </c>
      <c r="M33" s="13">
        <v>520</v>
      </c>
      <c r="N33" s="13">
        <v>484</v>
      </c>
      <c r="O33">
        <f t="shared" si="0"/>
        <v>59</v>
      </c>
    </row>
    <row r="34" spans="1:15" x14ac:dyDescent="0.3">
      <c r="A34" s="2" t="s">
        <v>109</v>
      </c>
      <c r="B34" s="2" t="s">
        <v>10</v>
      </c>
      <c r="C34" s="15">
        <v>1554</v>
      </c>
      <c r="D34" s="12">
        <v>701</v>
      </c>
      <c r="E34" s="15">
        <v>1036</v>
      </c>
      <c r="F34" s="15">
        <v>1794</v>
      </c>
      <c r="G34" s="15">
        <v>1824</v>
      </c>
      <c r="H34" s="15">
        <v>1893</v>
      </c>
      <c r="I34" s="15">
        <v>1740</v>
      </c>
      <c r="J34" s="15">
        <v>1114</v>
      </c>
      <c r="K34" s="15">
        <v>1781</v>
      </c>
      <c r="L34" s="15">
        <v>1739</v>
      </c>
      <c r="M34" s="15">
        <v>1532</v>
      </c>
      <c r="N34" s="15">
        <v>1855</v>
      </c>
      <c r="O34">
        <f t="shared" si="0"/>
        <v>38</v>
      </c>
    </row>
    <row r="35" spans="1:15" x14ac:dyDescent="0.3">
      <c r="A35" s="3" t="s">
        <v>112</v>
      </c>
      <c r="B35" s="3" t="s">
        <v>10</v>
      </c>
      <c r="C35" s="13">
        <v>256</v>
      </c>
      <c r="D35" s="13">
        <v>273</v>
      </c>
      <c r="E35" s="13">
        <v>259</v>
      </c>
      <c r="F35" s="13">
        <v>236</v>
      </c>
      <c r="G35" s="13">
        <v>219</v>
      </c>
      <c r="H35" s="13">
        <v>271</v>
      </c>
      <c r="I35" s="13">
        <v>228</v>
      </c>
      <c r="J35" s="13">
        <v>229</v>
      </c>
      <c r="K35" s="13">
        <v>232</v>
      </c>
      <c r="L35" s="13">
        <v>235</v>
      </c>
      <c r="M35" s="13">
        <v>238</v>
      </c>
      <c r="N35" s="13">
        <v>276</v>
      </c>
      <c r="O35">
        <f t="shared" si="0"/>
        <v>3</v>
      </c>
    </row>
    <row r="36" spans="1:15" x14ac:dyDescent="0.3">
      <c r="A36" s="2" t="s">
        <v>114</v>
      </c>
      <c r="B36" s="2" t="s">
        <v>10</v>
      </c>
      <c r="C36" s="12">
        <v>30</v>
      </c>
      <c r="D36" s="12">
        <v>30</v>
      </c>
      <c r="E36" s="12">
        <v>444</v>
      </c>
      <c r="F36" s="12">
        <v>0</v>
      </c>
      <c r="G36" s="12">
        <v>30</v>
      </c>
      <c r="H36" s="12">
        <v>396</v>
      </c>
      <c r="I36" s="12">
        <v>548</v>
      </c>
      <c r="J36" s="12">
        <v>400</v>
      </c>
      <c r="K36" s="12">
        <v>554</v>
      </c>
      <c r="L36" s="12">
        <v>535</v>
      </c>
      <c r="M36" s="12">
        <v>632</v>
      </c>
      <c r="N36" s="12">
        <v>949</v>
      </c>
      <c r="O36">
        <f t="shared" si="0"/>
        <v>317</v>
      </c>
    </row>
    <row r="37" spans="1:15" x14ac:dyDescent="0.3">
      <c r="A37" s="3" t="s">
        <v>117</v>
      </c>
      <c r="B37" s="3" t="s">
        <v>10</v>
      </c>
      <c r="C37" s="13">
        <v>42</v>
      </c>
      <c r="D37" s="13">
        <v>23</v>
      </c>
      <c r="E37" s="13">
        <v>65</v>
      </c>
      <c r="F37" s="13">
        <v>20</v>
      </c>
      <c r="G37" s="13">
        <v>23</v>
      </c>
      <c r="H37" s="13">
        <v>51</v>
      </c>
      <c r="I37" s="13">
        <v>6</v>
      </c>
      <c r="J37" s="13">
        <v>23</v>
      </c>
      <c r="K37" s="13">
        <v>23</v>
      </c>
      <c r="L37" s="13">
        <v>22</v>
      </c>
      <c r="M37" s="13">
        <v>6</v>
      </c>
      <c r="N37" s="13">
        <v>11</v>
      </c>
      <c r="O37">
        <f t="shared" si="0"/>
        <v>14</v>
      </c>
    </row>
    <row r="38" spans="1:15" x14ac:dyDescent="0.3">
      <c r="A38" s="2" t="s">
        <v>120</v>
      </c>
      <c r="B38" s="2" t="s">
        <v>10</v>
      </c>
      <c r="C38" s="15">
        <v>1534</v>
      </c>
      <c r="D38" s="15">
        <v>1456</v>
      </c>
      <c r="E38" s="15">
        <v>1710</v>
      </c>
      <c r="F38" s="15">
        <v>1527</v>
      </c>
      <c r="G38" s="15">
        <v>1656</v>
      </c>
      <c r="H38" s="15">
        <v>1513</v>
      </c>
      <c r="I38" s="15">
        <v>1216</v>
      </c>
      <c r="J38" s="15">
        <v>1126</v>
      </c>
      <c r="K38" s="15">
        <v>1149</v>
      </c>
      <c r="L38" s="15">
        <v>1359</v>
      </c>
      <c r="M38" s="15">
        <v>1270</v>
      </c>
      <c r="N38" s="15">
        <v>1181</v>
      </c>
      <c r="O38">
        <f t="shared" si="0"/>
        <v>54</v>
      </c>
    </row>
    <row r="39" spans="1:15" x14ac:dyDescent="0.3">
      <c r="A39" s="3" t="s">
        <v>123</v>
      </c>
      <c r="B39" s="3" t="s">
        <v>10</v>
      </c>
      <c r="C39" s="14">
        <v>1090</v>
      </c>
      <c r="D39" s="13">
        <v>683</v>
      </c>
      <c r="E39" s="13">
        <v>584</v>
      </c>
      <c r="F39" s="13">
        <v>100</v>
      </c>
      <c r="G39" s="13">
        <v>13</v>
      </c>
      <c r="H39" s="13">
        <v>18</v>
      </c>
      <c r="I39" s="13">
        <v>28</v>
      </c>
      <c r="J39" s="13">
        <v>11</v>
      </c>
      <c r="K39" s="13">
        <v>10</v>
      </c>
      <c r="L39" s="13">
        <v>5</v>
      </c>
      <c r="M39" s="13">
        <v>2</v>
      </c>
      <c r="N39" s="13">
        <v>2</v>
      </c>
      <c r="O39">
        <f t="shared" si="0"/>
        <v>407</v>
      </c>
    </row>
    <row r="40" spans="1:15" x14ac:dyDescent="0.3">
      <c r="A40" s="2" t="s">
        <v>126</v>
      </c>
      <c r="B40" s="2" t="s">
        <v>10</v>
      </c>
      <c r="C40" s="12">
        <v>37</v>
      </c>
      <c r="D40" s="12">
        <v>33</v>
      </c>
      <c r="E40" s="12">
        <v>38</v>
      </c>
      <c r="F40" s="12">
        <v>79</v>
      </c>
      <c r="G40" s="12">
        <v>42</v>
      </c>
      <c r="H40" s="12">
        <v>39</v>
      </c>
      <c r="I40" s="12">
        <v>134</v>
      </c>
      <c r="J40" s="12">
        <v>37</v>
      </c>
      <c r="K40" s="12">
        <v>67</v>
      </c>
      <c r="L40" s="12">
        <v>67</v>
      </c>
      <c r="M40" s="12">
        <v>57</v>
      </c>
      <c r="N40" s="12">
        <v>68</v>
      </c>
      <c r="O40">
        <f t="shared" si="0"/>
        <v>55</v>
      </c>
    </row>
    <row r="41" spans="1:15" x14ac:dyDescent="0.3">
      <c r="A41" s="3" t="s">
        <v>129</v>
      </c>
      <c r="B41" s="3" t="s">
        <v>10</v>
      </c>
      <c r="C41" s="13">
        <v>31</v>
      </c>
      <c r="D41" s="13">
        <v>31</v>
      </c>
      <c r="E41" s="13">
        <v>31</v>
      </c>
      <c r="F41" s="13">
        <v>13</v>
      </c>
      <c r="G41" s="13">
        <v>31</v>
      </c>
      <c r="H41" s="13">
        <v>31</v>
      </c>
      <c r="I41" s="13">
        <v>31</v>
      </c>
      <c r="J41" s="13">
        <v>31</v>
      </c>
      <c r="K41" s="13">
        <v>6</v>
      </c>
      <c r="L41" s="13">
        <v>24</v>
      </c>
      <c r="M41" s="13">
        <v>27</v>
      </c>
      <c r="N41" s="13">
        <v>29</v>
      </c>
      <c r="O41">
        <f t="shared" si="0"/>
        <v>0</v>
      </c>
    </row>
    <row r="42" spans="1:15" x14ac:dyDescent="0.3">
      <c r="A42" s="2" t="s">
        <v>131</v>
      </c>
      <c r="B42" s="2" t="s">
        <v>10</v>
      </c>
      <c r="C42" s="15">
        <v>1610</v>
      </c>
      <c r="D42" s="12">
        <v>803</v>
      </c>
      <c r="E42" s="15">
        <v>1338</v>
      </c>
      <c r="F42" s="15">
        <v>1585</v>
      </c>
      <c r="G42" s="15">
        <v>1903</v>
      </c>
      <c r="H42" s="15">
        <v>1397</v>
      </c>
      <c r="I42" s="15">
        <v>2608</v>
      </c>
      <c r="J42" s="15">
        <v>1131</v>
      </c>
      <c r="K42" s="15">
        <v>1502</v>
      </c>
      <c r="L42" s="15">
        <v>2091</v>
      </c>
      <c r="M42" s="15">
        <v>1602</v>
      </c>
      <c r="N42" s="15">
        <v>1600</v>
      </c>
      <c r="O42">
        <f>LARGE(C42:N42,1)-LARGE(C42:N42,2)</f>
        <v>517</v>
      </c>
    </row>
    <row r="43" spans="1:15" x14ac:dyDescent="0.3">
      <c r="A43" s="3" t="s">
        <v>134</v>
      </c>
      <c r="B43" s="3" t="s">
        <v>10</v>
      </c>
      <c r="C43" s="14">
        <v>1946</v>
      </c>
      <c r="D43" s="13">
        <v>610</v>
      </c>
      <c r="E43" s="14">
        <v>1250</v>
      </c>
      <c r="F43" s="14">
        <v>2091</v>
      </c>
      <c r="G43" s="14">
        <v>1972</v>
      </c>
      <c r="H43" s="14">
        <v>2134</v>
      </c>
      <c r="I43" s="14">
        <v>1781</v>
      </c>
      <c r="J43" s="14">
        <v>1216</v>
      </c>
      <c r="K43" s="14">
        <v>1676</v>
      </c>
      <c r="L43" s="14">
        <v>1707</v>
      </c>
      <c r="M43" s="14">
        <v>1409</v>
      </c>
      <c r="N43" s="14">
        <v>1889</v>
      </c>
      <c r="O43">
        <f t="shared" si="0"/>
        <v>43</v>
      </c>
    </row>
    <row r="44" spans="1:15" x14ac:dyDescent="0.3">
      <c r="A44" s="2" t="s">
        <v>137</v>
      </c>
      <c r="B44" s="2" t="s">
        <v>10</v>
      </c>
      <c r="C44" s="12">
        <v>437</v>
      </c>
      <c r="D44" s="12">
        <v>306</v>
      </c>
      <c r="E44" s="12">
        <v>440</v>
      </c>
      <c r="F44" s="12">
        <v>565</v>
      </c>
      <c r="G44" s="12">
        <v>570</v>
      </c>
      <c r="H44" s="12">
        <v>649</v>
      </c>
      <c r="I44" s="12">
        <v>753</v>
      </c>
      <c r="J44" s="12">
        <v>636</v>
      </c>
      <c r="K44" s="12">
        <v>654</v>
      </c>
      <c r="L44" s="12">
        <v>455</v>
      </c>
      <c r="M44" s="12">
        <v>482</v>
      </c>
      <c r="N44" s="15">
        <v>1048</v>
      </c>
      <c r="O44">
        <f t="shared" si="0"/>
        <v>295</v>
      </c>
    </row>
    <row r="45" spans="1:15" x14ac:dyDescent="0.3">
      <c r="A45" s="3" t="s">
        <v>140</v>
      </c>
      <c r="B45" s="3" t="s">
        <v>10</v>
      </c>
      <c r="C45" s="14">
        <v>1677</v>
      </c>
      <c r="D45" s="14">
        <v>1374</v>
      </c>
      <c r="E45" s="14">
        <v>1592</v>
      </c>
      <c r="F45" s="14">
        <v>1513</v>
      </c>
      <c r="G45" s="14">
        <v>1518</v>
      </c>
      <c r="H45" s="14">
        <v>1776</v>
      </c>
      <c r="I45" s="14">
        <v>1321</v>
      </c>
      <c r="J45" s="14">
        <v>1232</v>
      </c>
      <c r="K45" s="14">
        <v>1149</v>
      </c>
      <c r="L45" s="14">
        <v>1247</v>
      </c>
      <c r="M45" s="14">
        <v>1321</v>
      </c>
      <c r="N45" s="14">
        <v>1322</v>
      </c>
      <c r="O45">
        <f t="shared" si="0"/>
        <v>99</v>
      </c>
    </row>
    <row r="46" spans="1:15" x14ac:dyDescent="0.3">
      <c r="A46" s="2" t="s">
        <v>143</v>
      </c>
      <c r="B46" s="2" t="s">
        <v>10</v>
      </c>
      <c r="C46" s="15">
        <v>5162</v>
      </c>
      <c r="D46" s="15">
        <v>2223</v>
      </c>
      <c r="E46" s="15">
        <v>2413</v>
      </c>
      <c r="F46" s="15">
        <v>4598</v>
      </c>
      <c r="G46" s="15">
        <v>4583</v>
      </c>
      <c r="H46" s="15">
        <v>5056</v>
      </c>
      <c r="I46" s="15">
        <v>5342</v>
      </c>
      <c r="J46" s="15">
        <v>2809</v>
      </c>
      <c r="K46" s="15">
        <v>4617</v>
      </c>
      <c r="L46" s="15">
        <v>4727</v>
      </c>
      <c r="M46" s="15">
        <v>4225</v>
      </c>
      <c r="N46" s="15">
        <v>4653</v>
      </c>
      <c r="O46">
        <f t="shared" si="0"/>
        <v>180</v>
      </c>
    </row>
    <row r="47" spans="1:15" x14ac:dyDescent="0.3">
      <c r="A47" s="3" t="s">
        <v>146</v>
      </c>
      <c r="B47" s="3" t="s">
        <v>10</v>
      </c>
      <c r="C47" s="13">
        <v>651</v>
      </c>
      <c r="D47" s="13">
        <v>192</v>
      </c>
      <c r="E47" s="13">
        <v>770</v>
      </c>
      <c r="F47" s="13">
        <v>529</v>
      </c>
      <c r="G47" s="13">
        <v>548</v>
      </c>
      <c r="H47" s="13">
        <v>606</v>
      </c>
      <c r="I47" s="13">
        <v>475</v>
      </c>
      <c r="J47" s="13">
        <v>482</v>
      </c>
      <c r="K47" s="13">
        <v>394</v>
      </c>
      <c r="L47" s="13">
        <v>0</v>
      </c>
      <c r="M47" s="13">
        <v>0</v>
      </c>
      <c r="N47" s="13">
        <v>419</v>
      </c>
      <c r="O47">
        <f t="shared" si="0"/>
        <v>119</v>
      </c>
    </row>
    <row r="48" spans="1:15" x14ac:dyDescent="0.3">
      <c r="A48" s="2" t="s">
        <v>149</v>
      </c>
      <c r="B48" s="2" t="s">
        <v>150</v>
      </c>
      <c r="C48" s="15">
        <v>137865</v>
      </c>
      <c r="D48" s="15">
        <v>137758</v>
      </c>
      <c r="E48" s="15">
        <v>128956</v>
      </c>
      <c r="F48" s="15">
        <v>137839</v>
      </c>
      <c r="G48" s="15">
        <v>133234</v>
      </c>
      <c r="H48" s="15">
        <v>137696</v>
      </c>
      <c r="I48" s="15">
        <v>133238</v>
      </c>
      <c r="J48" s="15">
        <v>137814</v>
      </c>
      <c r="K48" s="15">
        <v>137859</v>
      </c>
      <c r="L48" s="15">
        <v>133152</v>
      </c>
      <c r="M48" s="15">
        <v>137805</v>
      </c>
      <c r="N48" s="15">
        <v>133400</v>
      </c>
      <c r="O48">
        <f t="shared" si="0"/>
        <v>6</v>
      </c>
    </row>
    <row r="49" spans="1:15" x14ac:dyDescent="0.3">
      <c r="A49" s="3" t="s">
        <v>154</v>
      </c>
      <c r="B49" s="6" t="s">
        <v>10</v>
      </c>
      <c r="C49" s="13">
        <v>152</v>
      </c>
      <c r="D49" s="13">
        <v>11</v>
      </c>
      <c r="E49" s="13">
        <v>122</v>
      </c>
      <c r="F49" s="13">
        <v>172</v>
      </c>
      <c r="G49" s="13">
        <v>207</v>
      </c>
      <c r="H49" s="13">
        <v>208</v>
      </c>
      <c r="I49" s="13">
        <v>142</v>
      </c>
      <c r="J49" s="13">
        <v>127</v>
      </c>
      <c r="K49" s="13">
        <v>128</v>
      </c>
      <c r="L49" s="13">
        <v>131</v>
      </c>
      <c r="M49" s="13">
        <v>156</v>
      </c>
      <c r="N49" s="13">
        <v>146</v>
      </c>
      <c r="O49">
        <f t="shared" si="0"/>
        <v>1</v>
      </c>
    </row>
    <row r="50" spans="1:15" x14ac:dyDescent="0.3">
      <c r="A50" s="2" t="s">
        <v>157</v>
      </c>
      <c r="B50" s="2" t="s">
        <v>10</v>
      </c>
      <c r="C50" s="12">
        <v>108</v>
      </c>
      <c r="D50" s="12">
        <v>115</v>
      </c>
      <c r="E50" s="12">
        <v>120</v>
      </c>
      <c r="F50" s="12">
        <v>109</v>
      </c>
      <c r="G50" s="12">
        <v>117</v>
      </c>
      <c r="H50" s="12">
        <v>131</v>
      </c>
      <c r="I50" s="12">
        <v>125</v>
      </c>
      <c r="J50" s="12">
        <v>123</v>
      </c>
      <c r="K50" s="12">
        <v>130</v>
      </c>
      <c r="L50" s="12">
        <v>118</v>
      </c>
      <c r="M50" s="12">
        <v>123</v>
      </c>
      <c r="N50" s="12">
        <v>108</v>
      </c>
      <c r="O50">
        <f t="shared" si="0"/>
        <v>1</v>
      </c>
    </row>
    <row r="51" spans="1:15" x14ac:dyDescent="0.3">
      <c r="A51" s="3" t="s">
        <v>160</v>
      </c>
      <c r="B51" s="3" t="s">
        <v>10</v>
      </c>
      <c r="C51" s="13">
        <v>119</v>
      </c>
      <c r="D51" s="13">
        <v>118</v>
      </c>
      <c r="E51" s="13">
        <v>119</v>
      </c>
      <c r="F51" s="13">
        <v>108</v>
      </c>
      <c r="G51" s="13">
        <v>123</v>
      </c>
      <c r="H51" s="13">
        <v>115</v>
      </c>
      <c r="I51" s="13">
        <v>126</v>
      </c>
      <c r="J51" s="13">
        <v>117</v>
      </c>
      <c r="K51" s="13">
        <v>115</v>
      </c>
      <c r="L51" s="13">
        <v>124</v>
      </c>
      <c r="M51" s="13">
        <v>116</v>
      </c>
      <c r="N51" s="13">
        <v>114</v>
      </c>
      <c r="O51">
        <f t="shared" si="0"/>
        <v>2</v>
      </c>
    </row>
    <row r="52" spans="1:15" x14ac:dyDescent="0.3">
      <c r="A52" s="2" t="s">
        <v>163</v>
      </c>
      <c r="B52" s="10" t="s">
        <v>10</v>
      </c>
      <c r="C52" s="15">
        <v>1025</v>
      </c>
      <c r="D52" s="15">
        <v>1148</v>
      </c>
      <c r="E52" s="15">
        <v>1068</v>
      </c>
      <c r="F52" s="15">
        <v>1187</v>
      </c>
      <c r="G52" s="15">
        <v>1183</v>
      </c>
      <c r="H52" s="15">
        <v>1249</v>
      </c>
      <c r="I52" s="15">
        <v>1052</v>
      </c>
      <c r="J52" s="15">
        <v>1009</v>
      </c>
      <c r="K52" s="15">
        <v>1101</v>
      </c>
      <c r="L52" s="12">
        <v>938</v>
      </c>
      <c r="M52" s="15">
        <v>1061</v>
      </c>
      <c r="N52" s="12">
        <v>933</v>
      </c>
      <c r="O52">
        <f t="shared" si="0"/>
        <v>62</v>
      </c>
    </row>
    <row r="53" spans="1:15" x14ac:dyDescent="0.3">
      <c r="A53" s="3" t="s">
        <v>166</v>
      </c>
      <c r="B53" s="3" t="s">
        <v>10</v>
      </c>
      <c r="C53" s="3" t="s">
        <v>208</v>
      </c>
      <c r="D53" s="3" t="s">
        <v>208</v>
      </c>
      <c r="E53" s="3" t="s">
        <v>208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  <c r="K53" s="13">
        <v>100</v>
      </c>
      <c r="L53" s="13">
        <v>0</v>
      </c>
      <c r="M53" s="13">
        <v>0</v>
      </c>
      <c r="N53" s="13">
        <v>100</v>
      </c>
      <c r="O53">
        <f t="shared" si="0"/>
        <v>0</v>
      </c>
    </row>
    <row r="54" spans="1:15" x14ac:dyDescent="0.3">
      <c r="A54" s="2" t="s">
        <v>169</v>
      </c>
      <c r="B54" s="2" t="s">
        <v>10</v>
      </c>
      <c r="C54" s="2" t="s">
        <v>208</v>
      </c>
      <c r="D54" s="2" t="s">
        <v>208</v>
      </c>
      <c r="E54" s="2" t="s">
        <v>208</v>
      </c>
      <c r="F54" s="2" t="s">
        <v>208</v>
      </c>
      <c r="G54" s="2" t="s">
        <v>208</v>
      </c>
      <c r="H54" s="2" t="s">
        <v>208</v>
      </c>
      <c r="I54" s="2" t="s">
        <v>208</v>
      </c>
      <c r="J54" s="15">
        <v>1064</v>
      </c>
      <c r="K54" s="12">
        <v>941</v>
      </c>
      <c r="L54" s="12">
        <v>985</v>
      </c>
      <c r="M54" s="12">
        <v>996</v>
      </c>
      <c r="N54" s="12">
        <v>855</v>
      </c>
      <c r="O54">
        <f t="shared" si="0"/>
        <v>68</v>
      </c>
    </row>
    <row r="55" spans="1:15" x14ac:dyDescent="0.3">
      <c r="A55" s="3" t="s">
        <v>172</v>
      </c>
      <c r="B55" s="3" t="s">
        <v>10</v>
      </c>
      <c r="C55" s="13">
        <v>147</v>
      </c>
      <c r="D55" s="13">
        <v>150</v>
      </c>
      <c r="E55" s="13">
        <v>139</v>
      </c>
      <c r="F55" s="13">
        <v>132</v>
      </c>
      <c r="G55" s="13">
        <v>148</v>
      </c>
      <c r="H55" s="13">
        <v>144</v>
      </c>
      <c r="I55" s="13">
        <v>134</v>
      </c>
      <c r="J55" s="13">
        <v>128</v>
      </c>
      <c r="K55" s="13">
        <v>131</v>
      </c>
      <c r="L55" s="13">
        <v>124</v>
      </c>
      <c r="M55" s="13">
        <v>140</v>
      </c>
      <c r="N55" s="13">
        <v>136</v>
      </c>
      <c r="O55">
        <f t="shared" si="0"/>
        <v>2</v>
      </c>
    </row>
    <row r="56" spans="1:15" x14ac:dyDescent="0.3">
      <c r="A56" s="2" t="s">
        <v>175</v>
      </c>
      <c r="B56" s="2" t="s">
        <v>10</v>
      </c>
      <c r="C56" s="12">
        <v>92</v>
      </c>
      <c r="D56" s="12">
        <v>75</v>
      </c>
      <c r="E56" s="12">
        <v>35</v>
      </c>
      <c r="F56" s="12">
        <v>76</v>
      </c>
      <c r="G56" s="12">
        <v>123</v>
      </c>
      <c r="H56" s="12">
        <v>110</v>
      </c>
      <c r="I56" s="12">
        <v>110</v>
      </c>
      <c r="J56" s="12">
        <v>103</v>
      </c>
      <c r="K56" s="12">
        <v>102</v>
      </c>
      <c r="L56" s="12">
        <v>153</v>
      </c>
      <c r="M56" s="12">
        <v>140</v>
      </c>
      <c r="N56" s="12">
        <v>135</v>
      </c>
      <c r="O56">
        <f t="shared" si="0"/>
        <v>13</v>
      </c>
    </row>
    <row r="57" spans="1:15" x14ac:dyDescent="0.3">
      <c r="A57" s="3" t="s">
        <v>177</v>
      </c>
      <c r="B57" s="6" t="s">
        <v>10</v>
      </c>
      <c r="C57" s="13">
        <v>318</v>
      </c>
      <c r="D57" s="13">
        <v>180</v>
      </c>
      <c r="E57" s="13">
        <v>362</v>
      </c>
      <c r="F57" s="13">
        <v>310</v>
      </c>
      <c r="G57" s="13">
        <v>458</v>
      </c>
      <c r="H57" s="13">
        <v>246</v>
      </c>
      <c r="I57" s="13">
        <v>83</v>
      </c>
      <c r="J57" s="13">
        <v>265</v>
      </c>
      <c r="K57" s="13">
        <v>310</v>
      </c>
      <c r="L57" s="13">
        <v>405</v>
      </c>
      <c r="M57" s="13">
        <v>405</v>
      </c>
      <c r="N57" s="13">
        <v>363</v>
      </c>
      <c r="O57">
        <f t="shared" si="0"/>
        <v>53</v>
      </c>
    </row>
    <row r="58" spans="1:15" x14ac:dyDescent="0.3">
      <c r="A58" s="2" t="s">
        <v>180</v>
      </c>
      <c r="B58" s="2" t="s">
        <v>10</v>
      </c>
      <c r="C58" s="15">
        <v>4058</v>
      </c>
      <c r="D58" s="15">
        <v>1591</v>
      </c>
      <c r="E58" s="15">
        <v>2258</v>
      </c>
      <c r="F58" s="15">
        <v>4272</v>
      </c>
      <c r="G58" s="15">
        <v>4456</v>
      </c>
      <c r="H58" s="15">
        <v>3700</v>
      </c>
      <c r="I58" s="15">
        <v>3679</v>
      </c>
      <c r="J58" s="15">
        <v>3322</v>
      </c>
      <c r="K58" s="15">
        <v>2704</v>
      </c>
      <c r="L58" s="15">
        <v>4025</v>
      </c>
      <c r="M58" s="15">
        <v>3587</v>
      </c>
      <c r="N58" s="15">
        <v>4157</v>
      </c>
      <c r="O58">
        <f t="shared" si="0"/>
        <v>184</v>
      </c>
    </row>
    <row r="59" spans="1:15" x14ac:dyDescent="0.3">
      <c r="A59" s="3" t="s">
        <v>183</v>
      </c>
      <c r="B59" s="3" t="s">
        <v>10</v>
      </c>
      <c r="C59" s="14">
        <v>1523</v>
      </c>
      <c r="D59" s="14">
        <v>1257</v>
      </c>
      <c r="E59" s="13">
        <v>939</v>
      </c>
      <c r="F59" s="13">
        <v>667</v>
      </c>
      <c r="G59" s="14">
        <v>1007</v>
      </c>
      <c r="H59" s="13">
        <v>480</v>
      </c>
      <c r="I59" s="13">
        <v>334</v>
      </c>
      <c r="J59" s="13">
        <v>703</v>
      </c>
      <c r="K59" s="13">
        <v>654</v>
      </c>
      <c r="L59" s="13">
        <v>769</v>
      </c>
      <c r="M59" s="13">
        <v>778</v>
      </c>
      <c r="N59" s="13">
        <v>860</v>
      </c>
      <c r="O59">
        <f t="shared" si="0"/>
        <v>266</v>
      </c>
    </row>
    <row r="60" spans="1:15" x14ac:dyDescent="0.3">
      <c r="A60" s="2" t="s">
        <v>185</v>
      </c>
      <c r="B60" s="2" t="s">
        <v>10</v>
      </c>
      <c r="C60" s="12">
        <v>30</v>
      </c>
      <c r="D60" s="12">
        <v>30</v>
      </c>
      <c r="E60" s="12">
        <v>71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>
        <f t="shared" si="0"/>
        <v>41</v>
      </c>
    </row>
    <row r="61" spans="1:15" x14ac:dyDescent="0.3">
      <c r="A61" s="3" t="s">
        <v>187</v>
      </c>
      <c r="B61" s="3" t="s">
        <v>10</v>
      </c>
      <c r="C61" s="13">
        <v>30</v>
      </c>
      <c r="D61" s="13">
        <v>30</v>
      </c>
      <c r="E61" s="13">
        <v>30</v>
      </c>
      <c r="F61" s="13">
        <v>30</v>
      </c>
      <c r="G61" s="13">
        <v>30</v>
      </c>
      <c r="H61" s="13">
        <v>30</v>
      </c>
      <c r="I61" s="13">
        <v>30</v>
      </c>
      <c r="J61" s="13">
        <v>30</v>
      </c>
      <c r="K61" s="13">
        <v>30</v>
      </c>
      <c r="L61" s="13">
        <v>30</v>
      </c>
      <c r="M61" s="13">
        <v>30</v>
      </c>
      <c r="N61" s="13">
        <v>30</v>
      </c>
      <c r="O61">
        <f t="shared" si="0"/>
        <v>0</v>
      </c>
    </row>
    <row r="62" spans="1:15" x14ac:dyDescent="0.3">
      <c r="A62" s="2" t="s">
        <v>190</v>
      </c>
      <c r="B62" s="4" t="s">
        <v>10</v>
      </c>
      <c r="C62" s="15">
        <v>1630</v>
      </c>
      <c r="D62" s="15">
        <v>1339</v>
      </c>
      <c r="E62" s="15">
        <v>1088</v>
      </c>
      <c r="F62" s="12">
        <v>968</v>
      </c>
      <c r="G62" s="15">
        <v>1047</v>
      </c>
      <c r="H62" s="12">
        <v>802</v>
      </c>
      <c r="I62" s="12">
        <v>994</v>
      </c>
      <c r="J62" s="12">
        <v>986</v>
      </c>
      <c r="K62" s="15">
        <v>1023</v>
      </c>
      <c r="L62" s="12">
        <v>975</v>
      </c>
      <c r="M62" s="15">
        <v>1236</v>
      </c>
      <c r="N62" s="15">
        <v>1137</v>
      </c>
      <c r="O62">
        <f t="shared" si="0"/>
        <v>291</v>
      </c>
    </row>
    <row r="63" spans="1:15" x14ac:dyDescent="0.3">
      <c r="A63" s="3" t="s">
        <v>193</v>
      </c>
      <c r="B63" s="3" t="s">
        <v>10</v>
      </c>
      <c r="C63" s="13">
        <v>0</v>
      </c>
      <c r="D63" s="13">
        <v>0</v>
      </c>
      <c r="E63" s="13">
        <v>35</v>
      </c>
      <c r="F63" s="13">
        <v>34</v>
      </c>
      <c r="G63" s="13">
        <v>0</v>
      </c>
      <c r="H63" s="13">
        <v>1</v>
      </c>
      <c r="I63" s="13">
        <v>2</v>
      </c>
      <c r="J63" s="13">
        <v>4</v>
      </c>
      <c r="K63" s="13">
        <v>2</v>
      </c>
      <c r="L63" s="13">
        <v>2</v>
      </c>
      <c r="M63" s="13">
        <v>50</v>
      </c>
      <c r="N63" s="13">
        <v>372</v>
      </c>
      <c r="O63">
        <f>LARGE(C63:N63,1)-LARGE(C63:N63,2)</f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INFORMAÇÃO GERAL</vt:lpstr>
      <vt:lpstr>HISTÓRICO DE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ESTAGIARIO 4 ENERGIA</cp:lastModifiedBy>
  <dcterms:created xsi:type="dcterms:W3CDTF">2026-05-07T11:57:46Z</dcterms:created>
  <dcterms:modified xsi:type="dcterms:W3CDTF">2026-05-07T12:41:37Z</dcterms:modified>
</cp:coreProperties>
</file>