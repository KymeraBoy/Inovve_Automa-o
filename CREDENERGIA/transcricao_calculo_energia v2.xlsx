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uário 1\Downloads\"/>
    </mc:Choice>
  </mc:AlternateContent>
  <xr:revisionPtr revIDLastSave="0" documentId="8_{1895556B-E4FF-4292-ACF5-F5535EF03E5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ranscrição" sheetId="1" r:id="rId1"/>
    <sheet name="Planilha1" sheetId="2" r:id="rId2"/>
    <sheet name="Planilha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2" l="1"/>
  <c r="G33" i="2"/>
  <c r="I26" i="2"/>
  <c r="G26" i="2"/>
  <c r="B61" i="2"/>
  <c r="B60" i="2"/>
  <c r="B56" i="2"/>
  <c r="C47" i="2"/>
  <c r="C49" i="2" s="1"/>
  <c r="C45" i="2"/>
  <c r="B47" i="2"/>
  <c r="B49" i="2" s="1"/>
  <c r="B46" i="2"/>
  <c r="B45" i="2"/>
  <c r="B87" i="2"/>
  <c r="C87" i="2" s="1"/>
  <c r="B86" i="2"/>
  <c r="C70" i="2"/>
  <c r="B42" i="2"/>
  <c r="C42" i="2" s="1"/>
  <c r="B41" i="2"/>
  <c r="C41" i="2" s="1"/>
  <c r="B34" i="2"/>
  <c r="C34" i="2" s="1"/>
  <c r="B33" i="2"/>
  <c r="B28" i="2"/>
  <c r="C28" i="2" s="1"/>
  <c r="B26" i="2"/>
  <c r="O8" i="2"/>
  <c r="P18" i="2"/>
  <c r="M11" i="2"/>
  <c r="M10" i="2"/>
  <c r="M7" i="2"/>
  <c r="M6" i="2"/>
  <c r="M5" i="2"/>
  <c r="O6" i="2" s="1"/>
  <c r="M4" i="2"/>
  <c r="L9" i="2"/>
  <c r="M9" i="2" s="1"/>
  <c r="L8" i="2"/>
  <c r="M8" i="2" s="1"/>
  <c r="I4" i="2"/>
  <c r="I5" i="2"/>
  <c r="I6" i="2"/>
  <c r="I7" i="2"/>
  <c r="I8" i="2"/>
  <c r="I9" i="2"/>
  <c r="I10" i="2"/>
  <c r="I11" i="2"/>
  <c r="I15" i="2"/>
  <c r="I16" i="2"/>
  <c r="M16" i="2" s="1"/>
  <c r="D13" i="2"/>
  <c r="I13" i="2" s="1"/>
  <c r="H4" i="2"/>
  <c r="H5" i="2"/>
  <c r="H6" i="2"/>
  <c r="H7" i="2"/>
  <c r="H10" i="2"/>
  <c r="H11" i="2"/>
  <c r="H12" i="2"/>
  <c r="H13" i="2"/>
  <c r="H14" i="2"/>
  <c r="H17" i="2"/>
  <c r="H18" i="2"/>
  <c r="H19" i="2"/>
  <c r="H21" i="2"/>
  <c r="H22" i="2"/>
  <c r="G9" i="2"/>
  <c r="H9" i="2" s="1"/>
  <c r="G8" i="2"/>
  <c r="H8" i="2" s="1"/>
  <c r="D21" i="2"/>
  <c r="D22" i="2" s="1"/>
  <c r="I22" i="2" s="1"/>
  <c r="E17" i="2"/>
  <c r="D16" i="2"/>
  <c r="C16" i="2"/>
  <c r="H16" i="2" s="1"/>
  <c r="C15" i="2"/>
  <c r="E15" i="2" s="1"/>
  <c r="F15" i="2" s="1"/>
  <c r="E14" i="2"/>
  <c r="E13" i="2"/>
  <c r="E12" i="2"/>
  <c r="D12" i="2"/>
  <c r="D17" i="2" s="1"/>
  <c r="I17" i="2" s="1"/>
  <c r="E11" i="2"/>
  <c r="F11" i="2" s="1"/>
  <c r="E10" i="2"/>
  <c r="F10" i="2" s="1"/>
  <c r="E9" i="2"/>
  <c r="F9" i="2" s="1"/>
  <c r="E8" i="2"/>
  <c r="F8" i="2" s="1"/>
  <c r="E7" i="2"/>
  <c r="F7" i="2" s="1"/>
  <c r="E6" i="2"/>
  <c r="F6" i="2" s="1"/>
  <c r="E5" i="2"/>
  <c r="F5" i="2" s="1"/>
  <c r="E4" i="2"/>
  <c r="F4" i="2" s="1"/>
  <c r="D22" i="1"/>
  <c r="D21" i="1"/>
  <c r="D20" i="1"/>
  <c r="C20" i="1"/>
  <c r="D19" i="1"/>
  <c r="D18" i="1"/>
  <c r="C15" i="1"/>
  <c r="E15" i="1" s="1"/>
  <c r="F15" i="1" s="1"/>
  <c r="D16" i="1"/>
  <c r="C16" i="1"/>
  <c r="E11" i="1"/>
  <c r="F11" i="1" s="1"/>
  <c r="D12" i="1"/>
  <c r="D17" i="1" s="1"/>
  <c r="E17" i="1"/>
  <c r="E16" i="1"/>
  <c r="E14" i="1"/>
  <c r="F14" i="1" s="1"/>
  <c r="E13" i="1"/>
  <c r="F13" i="1" s="1"/>
  <c r="E12" i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B58" i="2" l="1"/>
  <c r="C46" i="2"/>
  <c r="B73" i="2"/>
  <c r="C73" i="2" s="1"/>
  <c r="C82" i="2" s="1"/>
  <c r="B48" i="2"/>
  <c r="B30" i="2"/>
  <c r="C30" i="2" s="1"/>
  <c r="B79" i="2" s="1"/>
  <c r="C79" i="2" s="1"/>
  <c r="B35" i="2"/>
  <c r="B38" i="2"/>
  <c r="B50" i="2" s="1"/>
  <c r="B52" i="2" s="1"/>
  <c r="B71" i="2"/>
  <c r="B83" i="2" s="1"/>
  <c r="B88" i="2"/>
  <c r="D18" i="2"/>
  <c r="M12" i="2"/>
  <c r="C25" i="2" s="1"/>
  <c r="C37" i="2" s="1"/>
  <c r="C33" i="2"/>
  <c r="C35" i="2" s="1"/>
  <c r="C86" i="2"/>
  <c r="C88" i="2" s="1"/>
  <c r="C43" i="2"/>
  <c r="B43" i="2"/>
  <c r="B25" i="2"/>
  <c r="M13" i="2"/>
  <c r="F13" i="2"/>
  <c r="I12" i="2"/>
  <c r="E16" i="2"/>
  <c r="F16" i="2" s="1"/>
  <c r="H15" i="2"/>
  <c r="I21" i="2"/>
  <c r="M21" i="2"/>
  <c r="D14" i="2"/>
  <c r="I14" i="2" s="1"/>
  <c r="F17" i="2"/>
  <c r="F12" i="2"/>
  <c r="C20" i="2"/>
  <c r="H20" i="2" s="1"/>
  <c r="F16" i="1"/>
  <c r="F12" i="1"/>
  <c r="F17" i="1"/>
  <c r="C48" i="2" l="1"/>
  <c r="B75" i="2"/>
  <c r="C75" i="2" s="1"/>
  <c r="B70" i="2"/>
  <c r="B55" i="2"/>
  <c r="B57" i="2" s="1"/>
  <c r="B59" i="2" s="1"/>
  <c r="B51" i="2"/>
  <c r="B72" i="2"/>
  <c r="B74" i="2" s="1"/>
  <c r="B76" i="2" s="1"/>
  <c r="B82" i="2"/>
  <c r="B84" i="2" s="1"/>
  <c r="O18" i="2"/>
  <c r="M17" i="2"/>
  <c r="B27" i="2"/>
  <c r="B37" i="2"/>
  <c r="B39" i="2" s="1"/>
  <c r="M14" i="2"/>
  <c r="N21" i="2"/>
  <c r="F14" i="2"/>
  <c r="D19" i="2"/>
  <c r="I19" i="2" s="1"/>
  <c r="I18" i="2"/>
  <c r="M18" i="2" s="1"/>
  <c r="M20" i="2" s="1"/>
  <c r="D20" i="2"/>
  <c r="I20" i="2" s="1"/>
  <c r="M19" i="2" l="1"/>
  <c r="M15" i="2"/>
  <c r="O19" i="2"/>
  <c r="B29" i="2"/>
  <c r="B31" i="2" s="1"/>
  <c r="B53" i="2" s="1"/>
  <c r="M22" i="2" l="1"/>
  <c r="P21" i="2"/>
  <c r="P29" i="2"/>
  <c r="C26" i="2"/>
  <c r="C38" i="2" s="1"/>
  <c r="C39" i="2" l="1"/>
  <c r="C50" i="2"/>
  <c r="C27" i="2"/>
  <c r="C71" i="2"/>
  <c r="C72" i="2" l="1"/>
  <c r="C74" i="2" s="1"/>
  <c r="C76" i="2" s="1"/>
  <c r="C83" i="2"/>
  <c r="C84" i="2" s="1"/>
  <c r="B78" i="2"/>
  <c r="C29" i="2"/>
  <c r="C31" i="2" s="1"/>
  <c r="C53" i="2" s="1"/>
  <c r="D53" i="2" s="1"/>
  <c r="C52" i="2"/>
  <c r="C51" i="2"/>
  <c r="B80" i="2" l="1"/>
  <c r="C78" i="2"/>
  <c r="C80" i="2" s="1"/>
</calcChain>
</file>

<file path=xl/sharedStrings.xml><?xml version="1.0" encoding="utf-8"?>
<sst xmlns="http://schemas.openxmlformats.org/spreadsheetml/2006/main" count="153" uniqueCount="54">
  <si>
    <t>Descrição</t>
  </si>
  <si>
    <t>Quant. kWh</t>
  </si>
  <si>
    <t>Preço R$/kWh</t>
  </si>
  <si>
    <t>Valor informado (R$)</t>
  </si>
  <si>
    <t>Valor calculado / conferência (R$)</t>
  </si>
  <si>
    <t>Diferença (informado - calculado)</t>
  </si>
  <si>
    <t>Energia fornecida TE</t>
  </si>
  <si>
    <t>Energia injetada TE</t>
  </si>
  <si>
    <t>Energia injetada TUSD</t>
  </si>
  <si>
    <t>Energia ativa TUSD</t>
  </si>
  <si>
    <t>Energia TE consumida</t>
  </si>
  <si>
    <t>Energia consumida TUSD</t>
  </si>
  <si>
    <t>CIP</t>
  </si>
  <si>
    <t>Juros</t>
  </si>
  <si>
    <t>Total outros</t>
  </si>
  <si>
    <t>Valor Faturado Empresa Solar</t>
  </si>
  <si>
    <t>Total Geral  Faturado</t>
  </si>
  <si>
    <t>Total Faturamento</t>
  </si>
  <si>
    <t>Valor Faturado Enel (sem desconto)</t>
  </si>
  <si>
    <t>Valor Faturado Enel (com desconto)</t>
  </si>
  <si>
    <t>Valor total - Enel + Empresa</t>
  </si>
  <si>
    <t>Desconto Total</t>
  </si>
  <si>
    <t>Desconto sobre energia Injetada (%)</t>
  </si>
  <si>
    <t>Desconto Real (%)</t>
  </si>
  <si>
    <t>Preço da Energia Injetada</t>
  </si>
  <si>
    <t>SIMULAÇÃO</t>
  </si>
  <si>
    <t>PRECO GD1</t>
  </si>
  <si>
    <t>DIFERENÇA</t>
  </si>
  <si>
    <t>PRECO GD12</t>
  </si>
  <si>
    <t>DIFERENÇA3</t>
  </si>
  <si>
    <t/>
  </si>
  <si>
    <t>Preço Enel</t>
  </si>
  <si>
    <t>Preço Empresa</t>
  </si>
  <si>
    <t>Energia Injetada</t>
  </si>
  <si>
    <t>Preço Total</t>
  </si>
  <si>
    <t>Desconto Real</t>
  </si>
  <si>
    <t>Tarifa TE</t>
  </si>
  <si>
    <t>Tarifa TUSD</t>
  </si>
  <si>
    <t>TE + TUSD</t>
  </si>
  <si>
    <t>Preço kWh - Enel</t>
  </si>
  <si>
    <t>Preço médio do kWh praticado</t>
  </si>
  <si>
    <t>Preço kWh - Empresa</t>
  </si>
  <si>
    <t>Oregon</t>
  </si>
  <si>
    <t>Credenergia</t>
  </si>
  <si>
    <t>Outros - Faturamento</t>
  </si>
  <si>
    <t xml:space="preserve">TE kWh Injetado </t>
  </si>
  <si>
    <t>TUSD kWh Injetado - com ICMS</t>
  </si>
  <si>
    <t>TUSD kWh Injetado - sem ICMS</t>
  </si>
  <si>
    <t>Valor total com ICMS</t>
  </si>
  <si>
    <t>Valor total sem ICMS</t>
  </si>
  <si>
    <t>Valor Total do kWh faturado Orego</t>
  </si>
  <si>
    <t>% desconto considerando tarifa sem ICMS</t>
  </si>
  <si>
    <t>% desconto considerando tarifa com ICMS</t>
  </si>
  <si>
    <t>Preço Enel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</si>
</sst>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00"/>
    <numFmt numFmtId="165" formatCode="#,##0.00000"/>
    <numFmt numFmtId="166" formatCode="_-* #,##0.00000_-;\-* #,##0.00000_-;_-* &quot;-&quot;??_-;_-@_-"/>
  </numFmts>
  <fonts count="8">
    <font>
      <sz val="11"/>
      <name val="Carlito"/>
    </font>
    <font>
      <b/>
      <sz val="14"/>
      <color rgb="FFFFFFFF"/>
      <name val="Carlito"/>
    </font>
    <font>
      <b/>
      <sz val="11"/>
      <color rgb="FF000000"/>
      <name val="Carlito"/>
    </font>
    <font>
      <b/>
      <sz val="11"/>
      <name val="Carlito"/>
    </font>
    <font>
      <sz val="11"/>
      <name val="Carlito"/>
    </font>
    <font>
      <sz val="11"/>
      <color theme="1"/>
      <name val="Carlito"/>
    </font>
    <font>
      <b/>
      <sz val="11"/>
      <color theme="0"/>
      <name val="Carlito"/>
    </font>
    <font>
      <sz val="11"/>
      <color rgb="FFFF000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39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4" fontId="0" fillId="0" borderId="0" xfId="0" applyNumberFormat="1" applyAlignment="1">
      <alignment vertical="center" wrapText="1"/>
    </xf>
    <xf numFmtId="0" fontId="5" fillId="4" borderId="1" xfId="0" applyFont="1" applyFill="1" applyBorder="1"/>
    <xf numFmtId="4" fontId="0" fillId="0" borderId="0" xfId="0" applyNumberFormat="1"/>
    <xf numFmtId="10" fontId="0" fillId="0" borderId="0" xfId="2" applyNumberFormat="1" applyFont="1"/>
    <xf numFmtId="0" fontId="5" fillId="0" borderId="1" xfId="0" applyFont="1" applyBorder="1"/>
    <xf numFmtId="165" fontId="0" fillId="0" borderId="0" xfId="0" applyNumberFormat="1" applyAlignment="1">
      <alignment vertical="center" wrapText="1"/>
    </xf>
    <xf numFmtId="43" fontId="0" fillId="0" borderId="0" xfId="1" applyFont="1"/>
    <xf numFmtId="43" fontId="0" fillId="0" borderId="0" xfId="0" applyNumberFormat="1"/>
    <xf numFmtId="10" fontId="3" fillId="0" borderId="0" xfId="2" applyNumberFormat="1" applyFont="1"/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Alignment="1">
      <alignment horizontal="right" wrapText="1"/>
    </xf>
    <xf numFmtId="164" fontId="5" fillId="4" borderId="1" xfId="0" applyNumberFormat="1" applyFont="1" applyFill="1" applyBorder="1"/>
    <xf numFmtId="164" fontId="5" fillId="0" borderId="1" xfId="0" applyNumberFormat="1" applyFont="1" applyBorder="1"/>
    <xf numFmtId="0" fontId="6" fillId="5" borderId="1" xfId="0" applyFont="1" applyFill="1" applyBorder="1" applyAlignment="1">
      <alignment horizontal="center"/>
    </xf>
    <xf numFmtId="43" fontId="5" fillId="4" borderId="1" xfId="1" applyFont="1" applyFill="1" applyBorder="1"/>
    <xf numFmtId="43" fontId="5" fillId="0" borderId="1" xfId="1" applyFont="1" applyBorder="1"/>
    <xf numFmtId="166" fontId="0" fillId="0" borderId="0" xfId="0" applyNumberFormat="1"/>
    <xf numFmtId="166" fontId="0" fillId="6" borderId="0" xfId="0" applyNumberFormat="1" applyFill="1"/>
    <xf numFmtId="10" fontId="0" fillId="6" borderId="0" xfId="2" applyNumberFormat="1" applyFont="1" applyFill="1"/>
    <xf numFmtId="3" fontId="0" fillId="0" borderId="0" xfId="0" applyNumberFormat="1"/>
    <xf numFmtId="0" fontId="0" fillId="6" borderId="0" xfId="0" applyFill="1"/>
    <xf numFmtId="164" fontId="0" fillId="6" borderId="0" xfId="0" applyNumberFormat="1" applyFill="1"/>
    <xf numFmtId="0" fontId="3" fillId="6" borderId="0" xfId="0" applyFont="1" applyFill="1"/>
    <xf numFmtId="164" fontId="3" fillId="6" borderId="0" xfId="0" applyNumberFormat="1" applyFont="1" applyFill="1"/>
    <xf numFmtId="4" fontId="0" fillId="6" borderId="0" xfId="0" applyNumberFormat="1" applyFill="1"/>
    <xf numFmtId="0" fontId="3" fillId="0" borderId="0" xfId="0" applyFont="1" applyAlignment="1">
      <alignment horizontal="center"/>
    </xf>
    <xf numFmtId="10" fontId="3" fillId="6" borderId="0" xfId="0" applyNumberFormat="1" applyFont="1" applyFill="1"/>
    <xf numFmtId="0" fontId="7" fillId="0" borderId="0" xfId="0" applyFont="1"/>
    <xf numFmtId="4" fontId="7" fillId="0" borderId="0" xfId="0" applyNumberFormat="1" applyFont="1"/>
    <xf numFmtId="43" fontId="7" fillId="0" borderId="0" xfId="1" applyFont="1"/>
    <xf numFmtId="0" fontId="1" fillId="2" borderId="0" xfId="0" applyFont="1" applyFill="1" applyAlignment="1">
      <alignment horizontal="center" vertical="center"/>
    </xf>
  </cellXfs>
  <cellStyles count="3">
    <cellStyle name="Normal" xfId="0" builtinId="0"/>
    <cellStyle name="Porcentagem" xfId="2" builtinId="5"/>
    <cellStyle name="Vírgula" xfId="1" builtinId="3"/>
  </cellStyles>
  <dxfs count="2">
    <dxf>
      <numFmt numFmtId="4" formatCode="#,##0.00"/>
    </dxf>
    <dxf>
      <numFmt numFmtId="164" formatCode="0.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TranscricaoCalculo" displayName="TabelaTranscricaoCalculo" ref="A3:F22">
  <tableColumns count="6">
    <tableColumn id="2" xr3:uid="{00000000-0010-0000-0000-000002000000}" name="Descrição"/>
    <tableColumn id="3" xr3:uid="{00000000-0010-0000-0000-000003000000}" name="Quant. kWh"/>
    <tableColumn id="4" xr3:uid="{00000000-0010-0000-0000-000004000000}" name="Preço R$/kWh"/>
    <tableColumn id="5" xr3:uid="{00000000-0010-0000-0000-000005000000}" name="Valor informado (R$)"/>
    <tableColumn id="6" xr3:uid="{00000000-0010-0000-0000-000006000000}" name="Valor calculado / conferência (R$)"/>
    <tableColumn id="7" xr3:uid="{00000000-0010-0000-0000-000007000000}" name="Diferença (informado - calculado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7DD8FF-5715-C84E-A262-4EF0C1C4530B}" name="TabelaTranscricaoCalculo3" displayName="TabelaTranscricaoCalculo3" ref="A3:J22">
  <tableColumns count="10">
    <tableColumn id="2" xr3:uid="{07DC7C7E-8E66-A44E-8448-B90BFD8E16B7}" name="Descrição"/>
    <tableColumn id="3" xr3:uid="{9122E37D-A471-C84E-8488-D5D92CD801EE}" name="Quant. kWh"/>
    <tableColumn id="4" xr3:uid="{A69AED63-A091-BE49-BB38-CD09AEA12848}" name="Preço R$/kWh"/>
    <tableColumn id="5" xr3:uid="{CA16DF80-4193-1A48-B525-9A265A5AE581}" name="Valor informado (R$)"/>
    <tableColumn id="6" xr3:uid="{7B49014F-7537-3A41-ABB5-9064023B9CCE}" name="Valor calculado / conferência (R$)"/>
    <tableColumn id="7" xr3:uid="{0B8584AC-A1AC-5146-8D1C-5A1BE9FD0106}" name="Diferença (informado - calculado)"/>
    <tableColumn id="1" xr3:uid="{7FAD664B-B780-1F47-9A25-439423DDF4FE}" name="PRECO GD1"/>
    <tableColumn id="8" xr3:uid="{AC1F9729-A806-BB40-9725-D166B4091C81}" name="DIFERENÇA" dataDxfId="1">
      <calculatedColumnFormula>TabelaTranscricaoCalculo3[[#This Row],[PRECO GD1]]-TabelaTranscricaoCalculo3[[#This Row],[Preço R$/kWh]]</calculatedColumnFormula>
    </tableColumn>
    <tableColumn id="9" xr3:uid="{681A498F-23D8-BB4F-BC94-D7D550AE5837}" name="PRECO GD12" dataDxfId="0">
      <calculatedColumnFormula>TabelaTranscricaoCalculo3[[#This Row],[Valor informado (R$)]]</calculatedColumnFormula>
    </tableColumn>
    <tableColumn id="10" xr3:uid="{122DB925-0172-9A44-A6DA-13B8AF7D0D5B}" name="DIFERENÇA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zoomScale="144" workbookViewId="0">
      <selection activeCell="H3" sqref="H3"/>
    </sheetView>
  </sheetViews>
  <sheetFormatPr defaultColWidth="8.796875" defaultRowHeight="13.8"/>
  <cols>
    <col min="1" max="1" width="36.19921875" customWidth="1"/>
    <col min="2" max="2" width="13" customWidth="1"/>
    <col min="3" max="3" width="15" customWidth="1"/>
    <col min="4" max="4" width="18" customWidth="1"/>
    <col min="5" max="6" width="24" customWidth="1"/>
  </cols>
  <sheetData>
    <row r="1" spans="1:6" ht="34.799999999999997" customHeight="1">
      <c r="A1" s="38" t="s">
        <v>25</v>
      </c>
      <c r="B1" s="38"/>
      <c r="C1" s="38"/>
      <c r="D1" s="38"/>
      <c r="E1" s="38"/>
      <c r="F1" s="38"/>
    </row>
    <row r="3" spans="1:6" ht="42.75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9.95" customHeight="1">
      <c r="A4" s="3" t="s">
        <v>6</v>
      </c>
      <c r="B4" s="4">
        <v>9655</v>
      </c>
      <c r="C4" s="5">
        <v>0.32343</v>
      </c>
      <c r="D4" s="6">
        <v>3122.75</v>
      </c>
      <c r="E4" s="6">
        <f t="shared" ref="E4:E17" si="0">IF(AND(ISNUMBER(B4),ISNUMBER(C4)),B4*C4,"")</f>
        <v>3122.7166499999998</v>
      </c>
      <c r="F4" s="6">
        <f t="shared" ref="F4:F17" si="1">IF(AND(ISNUMBER(D4),ISNUMBER(E4)),D4-E4,"")</f>
        <v>3.3350000000154978E-2</v>
      </c>
    </row>
    <row r="5" spans="1:6" ht="19.95" customHeight="1">
      <c r="A5" s="3" t="s">
        <v>7</v>
      </c>
      <c r="B5" s="4">
        <v>9655</v>
      </c>
      <c r="C5" s="5">
        <v>0.32343</v>
      </c>
      <c r="D5" s="6">
        <v>-3122.75</v>
      </c>
      <c r="E5" s="6">
        <f t="shared" si="0"/>
        <v>3122.7166499999998</v>
      </c>
      <c r="F5" s="6">
        <f t="shared" si="1"/>
        <v>-6245.4666500000003</v>
      </c>
    </row>
    <row r="6" spans="1:6" ht="19.95" customHeight="1">
      <c r="A6" s="3" t="s">
        <v>8</v>
      </c>
      <c r="B6" s="4">
        <v>9655</v>
      </c>
      <c r="C6" s="5">
        <v>0.49059000000000003</v>
      </c>
      <c r="D6" s="6">
        <v>-4736.5</v>
      </c>
      <c r="E6" s="6">
        <f t="shared" si="0"/>
        <v>4736.6464500000002</v>
      </c>
      <c r="F6" s="6">
        <f t="shared" si="1"/>
        <v>-9473.1464500000002</v>
      </c>
    </row>
    <row r="7" spans="1:6" ht="19.95" customHeight="1">
      <c r="A7" s="3" t="s">
        <v>9</v>
      </c>
      <c r="B7" s="4">
        <v>9655</v>
      </c>
      <c r="C7" s="5">
        <v>0.61323000000000005</v>
      </c>
      <c r="D7" s="6">
        <v>5920.75</v>
      </c>
      <c r="E7" s="6">
        <f t="shared" si="0"/>
        <v>5920.7356500000005</v>
      </c>
      <c r="F7" s="6">
        <f t="shared" si="1"/>
        <v>1.43499999994674E-2</v>
      </c>
    </row>
    <row r="8" spans="1:6" ht="19.95" customHeight="1">
      <c r="A8" s="3" t="s">
        <v>10</v>
      </c>
      <c r="B8" s="4">
        <v>30</v>
      </c>
      <c r="C8" s="5">
        <v>0.32333000000000001</v>
      </c>
      <c r="D8" s="6">
        <v>9.6999999999999993</v>
      </c>
      <c r="E8" s="6">
        <f t="shared" si="0"/>
        <v>9.6998999999999995</v>
      </c>
      <c r="F8" s="6">
        <f t="shared" si="1"/>
        <v>9.9999999999766942E-5</v>
      </c>
    </row>
    <row r="9" spans="1:6" ht="19.95" customHeight="1">
      <c r="A9" s="3" t="s">
        <v>11</v>
      </c>
      <c r="B9" s="4">
        <v>30</v>
      </c>
      <c r="C9" s="5">
        <v>0.61333000000000004</v>
      </c>
      <c r="D9" s="6">
        <v>18.399999999999999</v>
      </c>
      <c r="E9" s="6">
        <f t="shared" si="0"/>
        <v>18.399900000000002</v>
      </c>
      <c r="F9" s="6">
        <f t="shared" si="1"/>
        <v>9.9999999996214228E-5</v>
      </c>
    </row>
    <row r="10" spans="1:6" ht="19.95" customHeight="1">
      <c r="A10" s="3" t="s">
        <v>12</v>
      </c>
      <c r="B10" s="4"/>
      <c r="C10" s="5"/>
      <c r="D10" s="6">
        <v>434.03</v>
      </c>
      <c r="E10" s="6" t="str">
        <f t="shared" si="0"/>
        <v/>
      </c>
      <c r="F10" s="6" t="str">
        <f t="shared" si="1"/>
        <v/>
      </c>
    </row>
    <row r="11" spans="1:6" ht="19.95" customHeight="1">
      <c r="A11" s="3" t="s">
        <v>13</v>
      </c>
      <c r="B11" s="11"/>
      <c r="C11" s="5"/>
      <c r="D11" s="6">
        <v>6.66</v>
      </c>
      <c r="E11" s="6" t="str">
        <f t="shared" si="0"/>
        <v/>
      </c>
      <c r="F11" s="6" t="str">
        <f t="shared" si="1"/>
        <v/>
      </c>
    </row>
    <row r="12" spans="1:6" ht="19.95" customHeight="1">
      <c r="A12" s="3" t="s">
        <v>17</v>
      </c>
      <c r="B12" s="4"/>
      <c r="C12" s="5"/>
      <c r="D12" s="6">
        <f>SUM(D4:D9)</f>
        <v>1212.3500000000001</v>
      </c>
      <c r="E12" s="6" t="str">
        <f t="shared" si="0"/>
        <v/>
      </c>
      <c r="F12" s="6" t="str">
        <f t="shared" si="1"/>
        <v/>
      </c>
    </row>
    <row r="13" spans="1:6" ht="19.95" customHeight="1">
      <c r="A13" s="3" t="s">
        <v>14</v>
      </c>
      <c r="B13" s="4"/>
      <c r="C13" s="5"/>
      <c r="D13" s="6">
        <v>440.59</v>
      </c>
      <c r="E13" s="6" t="str">
        <f t="shared" si="0"/>
        <v/>
      </c>
      <c r="F13" s="6" t="str">
        <f t="shared" si="1"/>
        <v/>
      </c>
    </row>
    <row r="14" spans="1:6" ht="19.95" customHeight="1">
      <c r="A14" s="3" t="s">
        <v>16</v>
      </c>
      <c r="B14" s="4"/>
      <c r="C14" s="5"/>
      <c r="D14" s="6">
        <v>1652.84</v>
      </c>
      <c r="E14" s="6" t="str">
        <f t="shared" si="0"/>
        <v/>
      </c>
      <c r="F14" s="6" t="str">
        <f t="shared" si="1"/>
        <v/>
      </c>
    </row>
    <row r="15" spans="1:6" ht="19.95" customHeight="1">
      <c r="A15" s="3" t="s">
        <v>15</v>
      </c>
      <c r="B15" s="4"/>
      <c r="C15" s="5">
        <f>D15/B7</f>
        <v>0.70161988606939418</v>
      </c>
      <c r="D15" s="6">
        <v>6774.14</v>
      </c>
      <c r="E15" s="6" t="str">
        <f t="shared" si="0"/>
        <v/>
      </c>
      <c r="F15" s="6" t="str">
        <f t="shared" si="1"/>
        <v/>
      </c>
    </row>
    <row r="16" spans="1:6" ht="19.95" customHeight="1">
      <c r="A16" s="3" t="s">
        <v>18</v>
      </c>
      <c r="B16" s="4"/>
      <c r="C16" s="5">
        <f>C4+C7</f>
        <v>0.93666000000000005</v>
      </c>
      <c r="D16" s="6">
        <f>D4+D7</f>
        <v>9043.5</v>
      </c>
      <c r="E16" s="6" t="str">
        <f t="shared" si="0"/>
        <v/>
      </c>
      <c r="F16" s="6" t="str">
        <f t="shared" si="1"/>
        <v/>
      </c>
    </row>
    <row r="17" spans="1:6" ht="19.95" customHeight="1">
      <c r="A17" s="3" t="s">
        <v>19</v>
      </c>
      <c r="B17" s="4"/>
      <c r="C17" s="5"/>
      <c r="D17" s="6">
        <f>D12</f>
        <v>1212.3500000000001</v>
      </c>
      <c r="E17" s="6" t="str">
        <f t="shared" si="0"/>
        <v/>
      </c>
      <c r="F17" s="6" t="str">
        <f t="shared" si="1"/>
        <v/>
      </c>
    </row>
    <row r="18" spans="1:6" ht="27" customHeight="1">
      <c r="A18" s="2" t="s">
        <v>20</v>
      </c>
      <c r="C18" s="9"/>
      <c r="D18" s="12">
        <f>D15+D17</f>
        <v>7986.4900000000007</v>
      </c>
    </row>
    <row r="19" spans="1:6" ht="19.95" customHeight="1">
      <c r="A19" t="s">
        <v>21</v>
      </c>
      <c r="D19" s="13">
        <f>D16-D18</f>
        <v>1057.0099999999993</v>
      </c>
    </row>
    <row r="20" spans="1:6" ht="19.95" customHeight="1">
      <c r="A20" t="s">
        <v>23</v>
      </c>
      <c r="C20" s="9">
        <f>(C16-C15/C16)</f>
        <v>0.18759429198493149</v>
      </c>
      <c r="D20" s="14">
        <f>(D16-D18)/D16</f>
        <v>0.11688063249847949</v>
      </c>
    </row>
    <row r="21" spans="1:6" ht="19.95" customHeight="1">
      <c r="A21" t="s">
        <v>24</v>
      </c>
      <c r="D21" s="8">
        <f>D5+D6</f>
        <v>-7859.25</v>
      </c>
    </row>
    <row r="22" spans="1:6" ht="19.95" customHeight="1">
      <c r="A22" t="s">
        <v>22</v>
      </c>
      <c r="D22" s="14">
        <f>(-D21-D15)/(-D21)</f>
        <v>0.13806788179533666</v>
      </c>
    </row>
    <row r="23" spans="1:6" ht="19.95" customHeight="1"/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7C761-E680-2F4C-B23D-2F6F29894C93}">
  <dimension ref="A1:P89"/>
  <sheetViews>
    <sheetView tabSelected="1" topLeftCell="A23" zoomScale="200" workbookViewId="0">
      <selection activeCell="A33" sqref="A33"/>
    </sheetView>
  </sheetViews>
  <sheetFormatPr defaultColWidth="8.796875" defaultRowHeight="13.8"/>
  <cols>
    <col min="1" max="1" width="36.19921875" customWidth="1"/>
    <col min="2" max="2" width="13" customWidth="1"/>
    <col min="3" max="3" width="15" customWidth="1"/>
    <col min="4" max="4" width="18" customWidth="1"/>
    <col min="5" max="6" width="24" hidden="1" customWidth="1"/>
    <col min="7" max="7" width="17.296875" customWidth="1"/>
    <col min="8" max="8" width="14.69921875" hidden="1" customWidth="1"/>
    <col min="9" max="9" width="15.5" customWidth="1"/>
    <col min="10" max="10" width="21.296875" hidden="1" customWidth="1"/>
    <col min="12" max="12" width="12.796875" customWidth="1"/>
    <col min="13" max="13" width="17" customWidth="1"/>
    <col min="15" max="15" width="9.5" bestFit="1" customWidth="1"/>
  </cols>
  <sheetData>
    <row r="1" spans="1:15" ht="34.799999999999997" customHeight="1">
      <c r="A1" s="38" t="s">
        <v>25</v>
      </c>
      <c r="B1" s="38"/>
      <c r="C1" s="38"/>
      <c r="D1" s="38"/>
      <c r="E1" s="38"/>
      <c r="F1" s="38"/>
    </row>
    <row r="3" spans="1:15" ht="42.75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6" t="s">
        <v>26</v>
      </c>
      <c r="H3" t="s">
        <v>27</v>
      </c>
      <c r="I3" s="16" t="s">
        <v>28</v>
      </c>
      <c r="J3" t="s">
        <v>29</v>
      </c>
      <c r="L3" s="21" t="s">
        <v>26</v>
      </c>
      <c r="M3" s="21" t="s">
        <v>28</v>
      </c>
    </row>
    <row r="4" spans="1:15" ht="19.95" customHeight="1">
      <c r="A4" s="3" t="s">
        <v>6</v>
      </c>
      <c r="B4" s="4">
        <v>9655</v>
      </c>
      <c r="C4" s="5">
        <v>0.32343</v>
      </c>
      <c r="D4" s="6">
        <v>3122.75</v>
      </c>
      <c r="E4" s="6">
        <f t="shared" ref="E4:E17" si="0">IF(AND(ISNUMBER(B4),ISNUMBER(C4)),B4*C4,"")</f>
        <v>3122.7166499999998</v>
      </c>
      <c r="F4" s="6">
        <f t="shared" ref="F4:F17" si="1">IF(AND(ISNUMBER(D4),ISNUMBER(E4)),D4-E4,"")</f>
        <v>3.3350000000154978E-2</v>
      </c>
      <c r="G4">
        <v>0.32541999999999999</v>
      </c>
      <c r="H4" s="17">
        <f>TabelaTranscricaoCalculo3[[#This Row],[PRECO GD1]]-TabelaTranscricaoCalculo3[[#This Row],[Preço R$/kWh]]</f>
        <v>1.9899999999999918E-3</v>
      </c>
      <c r="I4" s="12">
        <f>TabelaTranscricaoCalculo3[[#This Row],[Valor informado (R$)]]</f>
        <v>3122.75</v>
      </c>
      <c r="L4" s="7">
        <v>0.32541999999999999</v>
      </c>
      <c r="M4" s="22">
        <f>L4*TabelaTranscricaoCalculo3[[#This Row],[Quant. kWh]]</f>
        <v>3141.9301</v>
      </c>
    </row>
    <row r="5" spans="1:15" ht="19.95" customHeight="1">
      <c r="A5" s="3" t="s">
        <v>7</v>
      </c>
      <c r="B5" s="4">
        <v>9655</v>
      </c>
      <c r="C5" s="5">
        <v>0.32343</v>
      </c>
      <c r="D5" s="6">
        <v>-3122.75</v>
      </c>
      <c r="E5" s="6">
        <f t="shared" si="0"/>
        <v>3122.7166499999998</v>
      </c>
      <c r="F5" s="6">
        <f t="shared" si="1"/>
        <v>-6245.4666500000003</v>
      </c>
      <c r="G5">
        <v>-0.32541999999999999</v>
      </c>
      <c r="H5" s="17">
        <f>TabelaTranscricaoCalculo3[[#This Row],[PRECO GD1]]-TabelaTranscricaoCalculo3[[#This Row],[Preço R$/kWh]]</f>
        <v>-0.64884999999999993</v>
      </c>
      <c r="I5" s="12">
        <f>TabelaTranscricaoCalculo3[[#This Row],[Valor informado (R$)]]</f>
        <v>-3122.75</v>
      </c>
      <c r="L5" s="10">
        <v>-0.32541999999999999</v>
      </c>
      <c r="M5" s="23">
        <f>L5*TabelaTranscricaoCalculo3[[#This Row],[Quant. kWh]]</f>
        <v>-3141.9301</v>
      </c>
    </row>
    <row r="6" spans="1:15" ht="19.95" customHeight="1">
      <c r="A6" s="3" t="s">
        <v>8</v>
      </c>
      <c r="B6" s="4">
        <v>9655</v>
      </c>
      <c r="C6" s="5">
        <v>0.49059000000000003</v>
      </c>
      <c r="D6" s="6">
        <v>-4736.5</v>
      </c>
      <c r="E6" s="6">
        <f t="shared" si="0"/>
        <v>4736.6464500000002</v>
      </c>
      <c r="F6" s="6">
        <f t="shared" si="1"/>
        <v>-9473.1464500000002</v>
      </c>
      <c r="G6" s="17">
        <v>-0.32129999999999997</v>
      </c>
      <c r="H6" s="17">
        <f>TabelaTranscricaoCalculo3[[#This Row],[PRECO GD1]]-TabelaTranscricaoCalculo3[[#This Row],[Preço R$/kWh]]</f>
        <v>-0.81189</v>
      </c>
      <c r="I6" s="12">
        <f>TabelaTranscricaoCalculo3[[#This Row],[Valor informado (R$)]]</f>
        <v>-4736.5</v>
      </c>
      <c r="L6" s="19">
        <v>-0.32129999999999997</v>
      </c>
      <c r="M6" s="22">
        <f>L6*TabelaTranscricaoCalculo3[[#This Row],[Quant. kWh]]</f>
        <v>-3102.1514999999999</v>
      </c>
      <c r="O6" s="13">
        <f>M5+M6</f>
        <v>-6244.0815999999995</v>
      </c>
    </row>
    <row r="7" spans="1:15" ht="19.95" customHeight="1">
      <c r="A7" s="3" t="s">
        <v>9</v>
      </c>
      <c r="B7" s="4">
        <v>9655</v>
      </c>
      <c r="C7" s="5">
        <v>0.61323000000000005</v>
      </c>
      <c r="D7" s="6">
        <v>5920.75</v>
      </c>
      <c r="E7" s="6">
        <f t="shared" si="0"/>
        <v>5920.7356500000005</v>
      </c>
      <c r="F7" s="6">
        <f t="shared" si="1"/>
        <v>1.43499999994674E-2</v>
      </c>
      <c r="G7" s="17">
        <v>0.61626999999999998</v>
      </c>
      <c r="H7" s="17">
        <f>TabelaTranscricaoCalculo3[[#This Row],[PRECO GD1]]-TabelaTranscricaoCalculo3[[#This Row],[Preço R$/kWh]]</f>
        <v>3.0399999999999316E-3</v>
      </c>
      <c r="I7" s="12">
        <f>TabelaTranscricaoCalculo3[[#This Row],[Valor informado (R$)]]</f>
        <v>5920.75</v>
      </c>
      <c r="L7" s="20">
        <v>0.61626999999999998</v>
      </c>
      <c r="M7" s="23">
        <f>L7*TabelaTranscricaoCalculo3[[#This Row],[Quant. kWh]]</f>
        <v>5950.0868499999997</v>
      </c>
    </row>
    <row r="8" spans="1:15" ht="19.95" customHeight="1">
      <c r="A8" s="3" t="s">
        <v>10</v>
      </c>
      <c r="B8" s="4">
        <v>30</v>
      </c>
      <c r="C8" s="5">
        <v>0.32333000000000001</v>
      </c>
      <c r="D8" s="6">
        <v>9.6999999999999993</v>
      </c>
      <c r="E8" s="6">
        <f t="shared" si="0"/>
        <v>9.6998999999999995</v>
      </c>
      <c r="F8" s="6">
        <f t="shared" si="1"/>
        <v>9.9999999999766942E-5</v>
      </c>
      <c r="G8">
        <f>G4</f>
        <v>0.32541999999999999</v>
      </c>
      <c r="H8" s="17">
        <f>TabelaTranscricaoCalculo3[[#This Row],[PRECO GD1]]-TabelaTranscricaoCalculo3[[#This Row],[Preço R$/kWh]]</f>
        <v>2.0899999999999808E-3</v>
      </c>
      <c r="I8" s="12">
        <f>TabelaTranscricaoCalculo3[[#This Row],[Valor informado (R$)]]</f>
        <v>9.6999999999999993</v>
      </c>
      <c r="L8" s="7">
        <f>L4</f>
        <v>0.32541999999999999</v>
      </c>
      <c r="M8" s="22">
        <f>L8*TabelaTranscricaoCalculo3[[#This Row],[Quant. kWh]]</f>
        <v>9.7625999999999991</v>
      </c>
      <c r="O8" s="17">
        <f>L5+L6</f>
        <v>-0.64671999999999996</v>
      </c>
    </row>
    <row r="9" spans="1:15" ht="19.95" customHeight="1">
      <c r="A9" s="3" t="s">
        <v>11</v>
      </c>
      <c r="B9" s="4">
        <v>30</v>
      </c>
      <c r="C9" s="5">
        <v>0.61333000000000004</v>
      </c>
      <c r="D9" s="6">
        <v>18.399999999999999</v>
      </c>
      <c r="E9" s="6">
        <f t="shared" si="0"/>
        <v>18.399900000000002</v>
      </c>
      <c r="F9" s="6">
        <f t="shared" si="1"/>
        <v>9.9999999996214228E-5</v>
      </c>
      <c r="G9" s="17">
        <f>G7</f>
        <v>0.61626999999999998</v>
      </c>
      <c r="H9" s="17">
        <f>TabelaTranscricaoCalculo3[[#This Row],[PRECO GD1]]-TabelaTranscricaoCalculo3[[#This Row],[Preço R$/kWh]]</f>
        <v>2.9399999999999427E-3</v>
      </c>
      <c r="I9" s="12">
        <f>TabelaTranscricaoCalculo3[[#This Row],[Valor informado (R$)]]</f>
        <v>18.399999999999999</v>
      </c>
      <c r="L9" s="20">
        <f>L7</f>
        <v>0.61626999999999998</v>
      </c>
      <c r="M9" s="23">
        <f>L9*TabelaTranscricaoCalculo3[[#This Row],[Quant. kWh]]</f>
        <v>18.488099999999999</v>
      </c>
    </row>
    <row r="10" spans="1:15" ht="19.95" customHeight="1">
      <c r="A10" s="3" t="s">
        <v>12</v>
      </c>
      <c r="B10" s="4"/>
      <c r="C10" s="5"/>
      <c r="D10" s="6">
        <v>434.03</v>
      </c>
      <c r="E10" s="6" t="str">
        <f t="shared" si="0"/>
        <v/>
      </c>
      <c r="F10" s="6" t="str">
        <f t="shared" si="1"/>
        <v/>
      </c>
      <c r="H10" s="17">
        <f>TabelaTranscricaoCalculo3[[#This Row],[PRECO GD1]]-TabelaTranscricaoCalculo3[[#This Row],[Preço R$/kWh]]</f>
        <v>0</v>
      </c>
      <c r="I10" s="8">
        <f>TabelaTranscricaoCalculo3[[#This Row],[Valor informado (R$)]]</f>
        <v>434.03</v>
      </c>
      <c r="M10" s="8">
        <f>TabelaTranscricaoCalculo3[[#This Row],[Valor informado (R$)]]</f>
        <v>434.03</v>
      </c>
    </row>
    <row r="11" spans="1:15" ht="19.95" customHeight="1">
      <c r="A11" s="3" t="s">
        <v>13</v>
      </c>
      <c r="B11" s="11"/>
      <c r="C11" s="5"/>
      <c r="D11" s="6">
        <v>6.66</v>
      </c>
      <c r="E11" s="6" t="str">
        <f t="shared" si="0"/>
        <v/>
      </c>
      <c r="F11" s="6" t="str">
        <f t="shared" si="1"/>
        <v/>
      </c>
      <c r="H11" s="17">
        <f>TabelaTranscricaoCalculo3[[#This Row],[PRECO GD1]]-TabelaTranscricaoCalculo3[[#This Row],[Preço R$/kWh]]</f>
        <v>0</v>
      </c>
      <c r="I11" s="8">
        <f>TabelaTranscricaoCalculo3[[#This Row],[Valor informado (R$)]]</f>
        <v>6.66</v>
      </c>
      <c r="M11" s="8">
        <f>TabelaTranscricaoCalculo3[[#This Row],[Valor informado (R$)]]</f>
        <v>6.66</v>
      </c>
    </row>
    <row r="12" spans="1:15" ht="19.95" customHeight="1">
      <c r="A12" s="3" t="s">
        <v>17</v>
      </c>
      <c r="B12" s="4"/>
      <c r="C12" s="5"/>
      <c r="D12" s="6">
        <f>SUM(D4:D9)</f>
        <v>1212.3500000000001</v>
      </c>
      <c r="E12" s="6" t="str">
        <f t="shared" si="0"/>
        <v/>
      </c>
      <c r="F12" s="6" t="str">
        <f t="shared" si="1"/>
        <v/>
      </c>
      <c r="H12" s="17">
        <f>TabelaTranscricaoCalculo3[[#This Row],[PRECO GD1]]-TabelaTranscricaoCalculo3[[#This Row],[Preço R$/kWh]]</f>
        <v>0</v>
      </c>
      <c r="I12" s="8">
        <f>SUM(I4:I9)</f>
        <v>1212.3500000000001</v>
      </c>
      <c r="M12" s="13">
        <f>SUM(M4:M9)</f>
        <v>2876.1860499999998</v>
      </c>
    </row>
    <row r="13" spans="1:15" ht="19.95" customHeight="1">
      <c r="A13" s="3" t="s">
        <v>14</v>
      </c>
      <c r="B13" s="4"/>
      <c r="C13" s="5"/>
      <c r="D13" s="6">
        <f>D10+D11</f>
        <v>440.69</v>
      </c>
      <c r="E13" s="6" t="str">
        <f t="shared" si="0"/>
        <v/>
      </c>
      <c r="F13" s="6" t="str">
        <f t="shared" si="1"/>
        <v/>
      </c>
      <c r="H13" s="17">
        <f>TabelaTranscricaoCalculo3[[#This Row],[PRECO GD1]]-TabelaTranscricaoCalculo3[[#This Row],[Preço R$/kWh]]</f>
        <v>0</v>
      </c>
      <c r="I13" s="6">
        <f>TabelaTranscricaoCalculo3[[#This Row],[Valor informado (R$)]]</f>
        <v>440.69</v>
      </c>
      <c r="M13" s="8">
        <f>M10+M11</f>
        <v>440.69</v>
      </c>
    </row>
    <row r="14" spans="1:15" ht="19.95" customHeight="1">
      <c r="A14" s="3" t="s">
        <v>16</v>
      </c>
      <c r="B14" s="4"/>
      <c r="C14" s="5"/>
      <c r="D14" s="6">
        <f>D12+D13</f>
        <v>1653.0400000000002</v>
      </c>
      <c r="E14" s="6" t="str">
        <f t="shared" si="0"/>
        <v/>
      </c>
      <c r="F14" s="6" t="str">
        <f t="shared" si="1"/>
        <v/>
      </c>
      <c r="H14" s="17">
        <f>TabelaTranscricaoCalculo3[[#This Row],[PRECO GD1]]-TabelaTranscricaoCalculo3[[#This Row],[Preço R$/kWh]]</f>
        <v>0</v>
      </c>
      <c r="I14" s="8">
        <f>TabelaTranscricaoCalculo3[[#This Row],[Valor informado (R$)]]</f>
        <v>1653.0400000000002</v>
      </c>
      <c r="M14" s="13">
        <f>M13+M12</f>
        <v>3316.8760499999999</v>
      </c>
    </row>
    <row r="15" spans="1:15" ht="19.95" customHeight="1">
      <c r="A15" s="15" t="s">
        <v>15</v>
      </c>
      <c r="B15" s="4"/>
      <c r="C15" s="5">
        <f>D15/B7</f>
        <v>0.70161988606939418</v>
      </c>
      <c r="D15" s="6">
        <v>6774.14</v>
      </c>
      <c r="E15" s="6" t="str">
        <f t="shared" si="0"/>
        <v/>
      </c>
      <c r="F15" s="6" t="str">
        <f t="shared" si="1"/>
        <v/>
      </c>
      <c r="H15" s="17">
        <f>TabelaTranscricaoCalculo3[[#This Row],[PRECO GD1]]-TabelaTranscricaoCalculo3[[#This Row],[Preço R$/kWh]]</f>
        <v>-0.70161988606939418</v>
      </c>
      <c r="I15" s="8">
        <f>TabelaTranscricaoCalculo3[[#This Row],[Valor informado (R$)]]</f>
        <v>6774.14</v>
      </c>
      <c r="M15" s="13">
        <f>O18</f>
        <v>5110.3039500000014</v>
      </c>
    </row>
    <row r="16" spans="1:15" ht="19.95" customHeight="1">
      <c r="A16" s="3" t="s">
        <v>18</v>
      </c>
      <c r="B16" s="4"/>
      <c r="C16" s="5">
        <f>C4+C7</f>
        <v>0.93666000000000005</v>
      </c>
      <c r="D16" s="6">
        <f>D4+D7</f>
        <v>9043.5</v>
      </c>
      <c r="E16" s="6" t="str">
        <f t="shared" si="0"/>
        <v/>
      </c>
      <c r="F16" s="6" t="str">
        <f t="shared" si="1"/>
        <v/>
      </c>
      <c r="H16" s="17">
        <f>TabelaTranscricaoCalculo3[[#This Row],[PRECO GD1]]-TabelaTranscricaoCalculo3[[#This Row],[Preço R$/kWh]]</f>
        <v>-0.93666000000000005</v>
      </c>
      <c r="I16" s="8">
        <f>TabelaTranscricaoCalculo3[[#This Row],[Valor informado (R$)]]</f>
        <v>9043.5</v>
      </c>
      <c r="M16" s="8">
        <f>TabelaTranscricaoCalculo3[[#This Row],[PRECO GD12]]</f>
        <v>9043.5</v>
      </c>
    </row>
    <row r="17" spans="1:16" ht="19.95" customHeight="1">
      <c r="A17" s="3" t="s">
        <v>19</v>
      </c>
      <c r="B17" s="4"/>
      <c r="C17" s="5"/>
      <c r="D17" s="6">
        <f>D12</f>
        <v>1212.3500000000001</v>
      </c>
      <c r="E17" s="6" t="str">
        <f t="shared" si="0"/>
        <v/>
      </c>
      <c r="F17" s="6" t="str">
        <f t="shared" si="1"/>
        <v/>
      </c>
      <c r="H17" s="17">
        <f>TabelaTranscricaoCalculo3[[#This Row],[PRECO GD1]]-TabelaTranscricaoCalculo3[[#This Row],[Preço R$/kWh]]</f>
        <v>0</v>
      </c>
      <c r="I17" s="8">
        <f>TabelaTranscricaoCalculo3[[#This Row],[Valor informado (R$)]]</f>
        <v>1212.3500000000001</v>
      </c>
      <c r="M17" s="13">
        <f>M12</f>
        <v>2876.1860499999998</v>
      </c>
    </row>
    <row r="18" spans="1:16" ht="27" customHeight="1">
      <c r="A18" s="2" t="s">
        <v>20</v>
      </c>
      <c r="C18" s="9"/>
      <c r="D18" s="12">
        <f>D15+D17</f>
        <v>7986.4900000000007</v>
      </c>
      <c r="H18" s="17">
        <f>TabelaTranscricaoCalculo3[[#This Row],[PRECO GD1]]-TabelaTranscricaoCalculo3[[#This Row],[Preço R$/kWh]]</f>
        <v>0</v>
      </c>
      <c r="I18" s="8">
        <f>TabelaTranscricaoCalculo3[[#This Row],[Valor informado (R$)]]</f>
        <v>7986.4900000000007</v>
      </c>
      <c r="M18" s="8">
        <f>TabelaTranscricaoCalculo3[[#This Row],[PRECO GD12]]</f>
        <v>7986.4900000000007</v>
      </c>
      <c r="O18" s="13">
        <f>TabelaTranscricaoCalculo3[[#This Row],[Valor informado (R$)]]-M12</f>
        <v>5110.3039500000014</v>
      </c>
      <c r="P18">
        <f>4480.33/6880</f>
        <v>0.65121075581395349</v>
      </c>
    </row>
    <row r="19" spans="1:16" ht="19.95" customHeight="1">
      <c r="A19" t="s">
        <v>21</v>
      </c>
      <c r="D19" s="13">
        <f>D16-D18</f>
        <v>1057.0099999999993</v>
      </c>
      <c r="H19" s="17">
        <f>TabelaTranscricaoCalculo3[[#This Row],[PRECO GD1]]-TabelaTranscricaoCalculo3[[#This Row],[Preço R$/kWh]]</f>
        <v>0</v>
      </c>
      <c r="I19" s="8">
        <f>TabelaTranscricaoCalculo3[[#This Row],[Valor informado (R$)]]</f>
        <v>1057.0099999999993</v>
      </c>
      <c r="M19" s="13">
        <f>TabelaTranscricaoCalculo3[[#This Row],[PRECO GD12]]+(M14-I14)</f>
        <v>2720.8460499999992</v>
      </c>
      <c r="O19" s="25">
        <f>O18/B6</f>
        <v>0.52929093215950296</v>
      </c>
    </row>
    <row r="20" spans="1:16" ht="19.95" customHeight="1">
      <c r="A20" t="s">
        <v>23</v>
      </c>
      <c r="C20" s="9">
        <f>(C16-C15/C16)</f>
        <v>0.18759429198493149</v>
      </c>
      <c r="D20" s="14">
        <f>(D16-D18)/D16</f>
        <v>0.11688063249847949</v>
      </c>
      <c r="H20" s="17">
        <f>TabelaTranscricaoCalculo3[[#This Row],[PRECO GD1]]-TabelaTranscricaoCalculo3[[#This Row],[Preço R$/kWh]]</f>
        <v>-0.18759429198493149</v>
      </c>
      <c r="I20" s="8">
        <f>TabelaTranscricaoCalculo3[[#This Row],[Valor informado (R$)]]</f>
        <v>0.11688063249847949</v>
      </c>
      <c r="M20" s="9">
        <f>(M16-M18)/M16</f>
        <v>0.11688063249847949</v>
      </c>
    </row>
    <row r="21" spans="1:16" ht="19.95" customHeight="1">
      <c r="A21" t="s">
        <v>24</v>
      </c>
      <c r="D21" s="8">
        <f>D5+D6</f>
        <v>-7859.25</v>
      </c>
      <c r="H21" s="17">
        <f>TabelaTranscricaoCalculo3[[#This Row],[PRECO GD1]]-TabelaTranscricaoCalculo3[[#This Row],[Preço R$/kWh]]</f>
        <v>0</v>
      </c>
      <c r="I21" s="8">
        <f>TabelaTranscricaoCalculo3[[#This Row],[Valor informado (R$)]]</f>
        <v>-7859.25</v>
      </c>
      <c r="M21" s="13">
        <f>-(M5+M6)</f>
        <v>6244.0815999999995</v>
      </c>
      <c r="N21" s="24">
        <f>M21/B7</f>
        <v>0.64671999999999996</v>
      </c>
      <c r="P21" s="9">
        <f>(P18-O19)/P18</f>
        <v>0.18722022412246858</v>
      </c>
    </row>
    <row r="22" spans="1:16" ht="19.95" customHeight="1">
      <c r="A22" t="s">
        <v>22</v>
      </c>
      <c r="D22" s="14">
        <f>(-D21-D15)/(-D21)</f>
        <v>0.13806788179533666</v>
      </c>
      <c r="H22" s="17">
        <f>TabelaTranscricaoCalculo3[[#This Row],[PRECO GD1]]-TabelaTranscricaoCalculo3[[#This Row],[Preço R$/kWh]]</f>
        <v>0</v>
      </c>
      <c r="I22" s="8">
        <f>TabelaTranscricaoCalculo3[[#This Row],[Valor informado (R$)]]</f>
        <v>0.13806788179533666</v>
      </c>
      <c r="M22" s="26">
        <f>(M21-M15)/M21</f>
        <v>0.18157636665094162</v>
      </c>
    </row>
    <row r="23" spans="1:16" ht="19.95" customHeight="1">
      <c r="D23" s="14"/>
      <c r="H23" s="17"/>
      <c r="I23" s="8"/>
      <c r="M23" s="26"/>
    </row>
    <row r="24" spans="1:16" ht="19.95" customHeight="1">
      <c r="B24" s="33" t="s">
        <v>42</v>
      </c>
      <c r="C24" s="33" t="s">
        <v>43</v>
      </c>
    </row>
    <row r="25" spans="1:16" ht="19.95" customHeight="1">
      <c r="A25" t="s">
        <v>31</v>
      </c>
      <c r="B25" s="8">
        <f>D17</f>
        <v>1212.3500000000001</v>
      </c>
      <c r="C25" s="12">
        <f>M12</f>
        <v>2876.1860499999998</v>
      </c>
    </row>
    <row r="26" spans="1:16" ht="19.95" customHeight="1">
      <c r="A26" t="s">
        <v>32</v>
      </c>
      <c r="B26" s="8">
        <f>D15</f>
        <v>6774.14</v>
      </c>
      <c r="C26" s="12">
        <f>O18-D26</f>
        <v>5110.3039500000014</v>
      </c>
      <c r="D26" s="13"/>
      <c r="G26">
        <f>6774-5110</f>
        <v>1664</v>
      </c>
      <c r="I26">
        <f>G26/B26</f>
        <v>0.24564003696410169</v>
      </c>
    </row>
    <row r="27" spans="1:16" ht="19.95" customHeight="1">
      <c r="A27" s="35" t="s">
        <v>34</v>
      </c>
      <c r="B27" s="36">
        <f>B25+B26</f>
        <v>7986.4900000000007</v>
      </c>
      <c r="C27" s="37">
        <f>C25+C26</f>
        <v>7986.4900000000016</v>
      </c>
    </row>
    <row r="28" spans="1:16" ht="19.95" customHeight="1">
      <c r="A28" t="s">
        <v>33</v>
      </c>
      <c r="B28" s="27">
        <f>B5</f>
        <v>9655</v>
      </c>
      <c r="C28" s="27">
        <f>B28</f>
        <v>9655</v>
      </c>
    </row>
    <row r="29" spans="1:16" ht="18" customHeight="1">
      <c r="A29" s="30" t="s">
        <v>40</v>
      </c>
      <c r="B29" s="31">
        <f>B27/B28</f>
        <v>0.82718694976696017</v>
      </c>
      <c r="C29" s="31">
        <f>C27/C28</f>
        <v>0.82718694976696028</v>
      </c>
      <c r="P29" s="9">
        <f>(C15-O19)/C15</f>
        <v>0.24561583462993081</v>
      </c>
    </row>
    <row r="30" spans="1:16" ht="18" customHeight="1">
      <c r="A30" t="s">
        <v>39</v>
      </c>
      <c r="B30" s="17">
        <f>C16</f>
        <v>0.93666000000000005</v>
      </c>
      <c r="C30" s="17">
        <f>B30</f>
        <v>0.93666000000000005</v>
      </c>
      <c r="P30" s="9"/>
    </row>
    <row r="31" spans="1:16" ht="18" customHeight="1">
      <c r="A31" t="s">
        <v>35</v>
      </c>
      <c r="B31" s="9">
        <f>(B30-B29)/B30</f>
        <v>0.1168759744550209</v>
      </c>
      <c r="C31" s="9">
        <f>(C30-C29)/C30</f>
        <v>0.11687597445502078</v>
      </c>
    </row>
    <row r="32" spans="1:16" ht="18" customHeight="1"/>
    <row r="33" spans="1:7" ht="18" customHeight="1">
      <c r="A33" t="s">
        <v>36</v>
      </c>
      <c r="B33" s="17">
        <f>C4</f>
        <v>0.32343</v>
      </c>
      <c r="C33" s="17">
        <f>B33</f>
        <v>0.32343</v>
      </c>
      <c r="D33">
        <v>0.49059000000000003</v>
      </c>
      <c r="G33" s="17">
        <f>D33+C33</f>
        <v>0.81401999999999997</v>
      </c>
    </row>
    <row r="34" spans="1:7" ht="18" customHeight="1">
      <c r="A34" t="s">
        <v>37</v>
      </c>
      <c r="B34" s="17">
        <f>C7</f>
        <v>0.61323000000000005</v>
      </c>
      <c r="C34" s="17">
        <f>B34</f>
        <v>0.61323000000000005</v>
      </c>
    </row>
    <row r="35" spans="1:7" ht="18" customHeight="1">
      <c r="A35" s="28" t="s">
        <v>38</v>
      </c>
      <c r="B35" s="29">
        <f>B33+B34</f>
        <v>0.93666000000000005</v>
      </c>
      <c r="C35" s="29">
        <f>C33+C34</f>
        <v>0.93666000000000005</v>
      </c>
    </row>
    <row r="36" spans="1:7" ht="18" customHeight="1"/>
    <row r="37" spans="1:7" ht="18" customHeight="1">
      <c r="A37" t="s">
        <v>39</v>
      </c>
      <c r="B37" s="17">
        <f>B25/B28</f>
        <v>0.12556706369756604</v>
      </c>
      <c r="C37" s="17">
        <f>C25/C28</f>
        <v>0.29789601760745726</v>
      </c>
      <c r="G37">
        <f>(G33-B38)/G33</f>
        <v>0.13808028541142206</v>
      </c>
    </row>
    <row r="38" spans="1:7" ht="18" customHeight="1">
      <c r="A38" t="s">
        <v>41</v>
      </c>
      <c r="B38" s="17">
        <f>B26/B28</f>
        <v>0.70161988606939418</v>
      </c>
      <c r="C38" s="17">
        <f>C26/C28</f>
        <v>0.52929093215950296</v>
      </c>
    </row>
    <row r="39" spans="1:7" ht="18" customHeight="1">
      <c r="B39" s="17">
        <f>B37+B38</f>
        <v>0.82718694976696017</v>
      </c>
      <c r="C39" s="17">
        <f>C37+C38</f>
        <v>0.82718694976696017</v>
      </c>
    </row>
    <row r="40" spans="1:7" ht="18" customHeight="1">
      <c r="B40" s="17"/>
      <c r="C40" s="17"/>
    </row>
    <row r="41" spans="1:7" ht="18" customHeight="1">
      <c r="A41" t="s">
        <v>12</v>
      </c>
      <c r="B41" s="8">
        <f>D10</f>
        <v>434.03</v>
      </c>
      <c r="C41" s="8">
        <f>B41</f>
        <v>434.03</v>
      </c>
    </row>
    <row r="42" spans="1:7" ht="18" customHeight="1">
      <c r="A42" t="s">
        <v>13</v>
      </c>
      <c r="B42" s="8">
        <f>D11</f>
        <v>6.66</v>
      </c>
      <c r="C42" s="8">
        <f>B42</f>
        <v>6.66</v>
      </c>
    </row>
    <row r="43" spans="1:7" ht="18" customHeight="1">
      <c r="A43" s="28" t="s">
        <v>44</v>
      </c>
      <c r="B43" s="32">
        <f>B41+B42</f>
        <v>440.69</v>
      </c>
      <c r="C43" s="32">
        <f>C41+C42</f>
        <v>440.69</v>
      </c>
    </row>
    <row r="45" spans="1:7" ht="22.05" customHeight="1">
      <c r="A45" t="s">
        <v>45</v>
      </c>
      <c r="B45" s="17">
        <f>C5</f>
        <v>0.32343</v>
      </c>
      <c r="C45">
        <f>G4</f>
        <v>0.32541999999999999</v>
      </c>
    </row>
    <row r="46" spans="1:7" ht="22.05" customHeight="1">
      <c r="A46" t="s">
        <v>46</v>
      </c>
      <c r="B46" s="17">
        <f>C7</f>
        <v>0.61323000000000005</v>
      </c>
      <c r="C46" s="17">
        <f>G9</f>
        <v>0.61626999999999998</v>
      </c>
    </row>
    <row r="47" spans="1:7" ht="22.05" customHeight="1">
      <c r="A47" t="s">
        <v>47</v>
      </c>
      <c r="B47" s="17">
        <f>C6</f>
        <v>0.49059000000000003</v>
      </c>
      <c r="C47" s="17">
        <f>-G6</f>
        <v>0.32129999999999997</v>
      </c>
    </row>
    <row r="48" spans="1:7" ht="22.05" customHeight="1">
      <c r="A48" t="s">
        <v>48</v>
      </c>
      <c r="B48" s="17">
        <f>B45+B46</f>
        <v>0.93666000000000005</v>
      </c>
      <c r="C48" s="17">
        <f>C45+C46</f>
        <v>0.94168999999999992</v>
      </c>
    </row>
    <row r="49" spans="1:4" ht="22.05" customHeight="1">
      <c r="A49" t="s">
        <v>49</v>
      </c>
      <c r="B49" s="17">
        <f>B45+B47</f>
        <v>0.81401999999999997</v>
      </c>
      <c r="C49" s="17">
        <f>C45+C47</f>
        <v>0.64671999999999996</v>
      </c>
    </row>
    <row r="50" spans="1:4" ht="22.05" customHeight="1">
      <c r="A50" t="s">
        <v>50</v>
      </c>
      <c r="B50" s="17">
        <f>B38</f>
        <v>0.70161988606939418</v>
      </c>
      <c r="C50" s="17">
        <f>C38</f>
        <v>0.52929093215950296</v>
      </c>
    </row>
    <row r="51" spans="1:4" ht="22.05" customHeight="1">
      <c r="A51" s="28" t="s">
        <v>51</v>
      </c>
      <c r="B51" s="26">
        <f>(B48-B50)/B48</f>
        <v>0.25093429198493139</v>
      </c>
      <c r="C51" s="26">
        <f>(C48-C50)/C48</f>
        <v>0.43793506126272658</v>
      </c>
    </row>
    <row r="52" spans="1:4" ht="22.05" customHeight="1">
      <c r="A52" t="s">
        <v>52</v>
      </c>
      <c r="B52" s="9">
        <f>(B49-B50)/B49</f>
        <v>0.13808028541142206</v>
      </c>
      <c r="C52" s="9">
        <f>(C49-C50)/C49</f>
        <v>0.18157636665094168</v>
      </c>
    </row>
    <row r="53" spans="1:4" ht="18" customHeight="1">
      <c r="A53" s="30" t="s">
        <v>35</v>
      </c>
      <c r="B53" s="34">
        <f>B31</f>
        <v>0.1168759744550209</v>
      </c>
      <c r="C53" s="34">
        <f>C31</f>
        <v>0.11687597445502078</v>
      </c>
      <c r="D53" s="34">
        <f>(C53-B53)/B53</f>
        <v>-1.0686549639712073E-15</v>
      </c>
    </row>
    <row r="55" spans="1:4" ht="19.05" customHeight="1">
      <c r="A55" t="s">
        <v>53</v>
      </c>
      <c r="B55" s="8">
        <f>B25+B43</f>
        <v>1653.0400000000002</v>
      </c>
    </row>
    <row r="56" spans="1:4" ht="19.05" customHeight="1">
      <c r="A56" t="s">
        <v>32</v>
      </c>
      <c r="B56" s="8">
        <f>B26</f>
        <v>6774.14</v>
      </c>
    </row>
    <row r="57" spans="1:4" ht="19.05" customHeight="1">
      <c r="A57" t="s">
        <v>34</v>
      </c>
      <c r="B57" s="8">
        <f>B55+B56</f>
        <v>8427.18</v>
      </c>
    </row>
    <row r="58" spans="1:4" ht="19.05" customHeight="1">
      <c r="A58" t="s">
        <v>33</v>
      </c>
      <c r="B58" s="27">
        <f>B28</f>
        <v>9655</v>
      </c>
    </row>
    <row r="59" spans="1:4" ht="19.05" customHeight="1">
      <c r="A59" s="30" t="s">
        <v>40</v>
      </c>
      <c r="B59" s="31">
        <f>B57/B58</f>
        <v>0.87283065769031598</v>
      </c>
    </row>
    <row r="60" spans="1:4" ht="19.05" customHeight="1">
      <c r="A60" t="s">
        <v>39</v>
      </c>
      <c r="B60" s="17">
        <f>B30</f>
        <v>0.93666000000000005</v>
      </c>
    </row>
    <row r="61" spans="1:4" ht="19.05" customHeight="1">
      <c r="A61" t="s">
        <v>35</v>
      </c>
      <c r="B61" s="9">
        <f>(B60-B59)/B60</f>
        <v>6.8145690335536982E-2</v>
      </c>
    </row>
    <row r="69" spans="1:3" ht="21" customHeight="1">
      <c r="B69" s="33" t="s">
        <v>42</v>
      </c>
      <c r="C69" s="33" t="s">
        <v>43</v>
      </c>
    </row>
    <row r="70" spans="1:3" ht="21" customHeight="1">
      <c r="A70" t="s">
        <v>31</v>
      </c>
      <c r="B70" s="8">
        <f>B25+B43</f>
        <v>1653.0400000000002</v>
      </c>
      <c r="C70" s="12">
        <f>M35</f>
        <v>0</v>
      </c>
    </row>
    <row r="71" spans="1:3" ht="21" customHeight="1">
      <c r="A71" t="s">
        <v>32</v>
      </c>
      <c r="B71" s="8">
        <f>B26</f>
        <v>6774.14</v>
      </c>
      <c r="C71" s="8">
        <f>C26</f>
        <v>5110.3039500000014</v>
      </c>
    </row>
    <row r="72" spans="1:3" ht="21" customHeight="1">
      <c r="A72" t="s">
        <v>34</v>
      </c>
      <c r="B72" s="8">
        <f>B70+B71</f>
        <v>8427.18</v>
      </c>
      <c r="C72" s="12">
        <f>C70+C71</f>
        <v>5110.3039500000014</v>
      </c>
    </row>
    <row r="73" spans="1:3" ht="21" customHeight="1">
      <c r="A73" t="s">
        <v>33</v>
      </c>
      <c r="B73" s="27">
        <f>B28</f>
        <v>9655</v>
      </c>
      <c r="C73" s="27">
        <f>B73</f>
        <v>9655</v>
      </c>
    </row>
    <row r="74" spans="1:3" ht="21" customHeight="1">
      <c r="A74" s="30" t="s">
        <v>40</v>
      </c>
      <c r="B74" s="31">
        <f>B72/B73</f>
        <v>0.87283065769031598</v>
      </c>
      <c r="C74" s="31">
        <f>C72/C73</f>
        <v>0.52929093215950296</v>
      </c>
    </row>
    <row r="75" spans="1:3" ht="21" customHeight="1">
      <c r="A75" t="s">
        <v>39</v>
      </c>
      <c r="B75" s="17">
        <f>B30</f>
        <v>0.93666000000000005</v>
      </c>
      <c r="C75" s="17">
        <f>B75</f>
        <v>0.93666000000000005</v>
      </c>
    </row>
    <row r="76" spans="1:3" ht="21" customHeight="1">
      <c r="A76" t="s">
        <v>35</v>
      </c>
      <c r="B76" s="9">
        <f>(B75-B74)/B75</f>
        <v>6.8145690335536982E-2</v>
      </c>
      <c r="C76" s="9">
        <f>(C75-C74)/C75</f>
        <v>0.43491669105171255</v>
      </c>
    </row>
    <row r="77" spans="1:3" ht="21" customHeight="1"/>
    <row r="78" spans="1:3" ht="21" customHeight="1">
      <c r="A78" t="s">
        <v>36</v>
      </c>
      <c r="B78" s="17">
        <f>C27</f>
        <v>7986.4900000000016</v>
      </c>
      <c r="C78" s="17">
        <f>B78</f>
        <v>7986.4900000000016</v>
      </c>
    </row>
    <row r="79" spans="1:3" ht="21" customHeight="1">
      <c r="A79" t="s">
        <v>37</v>
      </c>
      <c r="B79" s="17">
        <f>C30</f>
        <v>0.93666000000000005</v>
      </c>
      <c r="C79" s="17">
        <f>B79</f>
        <v>0.93666000000000005</v>
      </c>
    </row>
    <row r="80" spans="1:3" ht="21" customHeight="1">
      <c r="A80" s="28" t="s">
        <v>38</v>
      </c>
      <c r="B80" s="29">
        <f>B78+B79</f>
        <v>7987.4266600000019</v>
      </c>
      <c r="C80" s="29">
        <f>C78+C79</f>
        <v>7987.4266600000019</v>
      </c>
    </row>
    <row r="81" spans="1:3" ht="21" customHeight="1"/>
    <row r="82" spans="1:3" ht="21" customHeight="1">
      <c r="A82" t="s">
        <v>39</v>
      </c>
      <c r="B82" s="17">
        <f>B70/B73</f>
        <v>0.17121077162092183</v>
      </c>
      <c r="C82" s="17">
        <f>C70/C73</f>
        <v>0</v>
      </c>
    </row>
    <row r="83" spans="1:3" ht="21" customHeight="1">
      <c r="A83" t="s">
        <v>41</v>
      </c>
      <c r="B83" s="17">
        <f>B71/B73</f>
        <v>0.70161988606939418</v>
      </c>
      <c r="C83" s="17">
        <f>C71/C73</f>
        <v>0.52929093215950296</v>
      </c>
    </row>
    <row r="84" spans="1:3" ht="21" customHeight="1">
      <c r="B84" s="17">
        <f>B82+B83</f>
        <v>0.87283065769031598</v>
      </c>
      <c r="C84" s="17">
        <f>C82+C83</f>
        <v>0.52929093215950296</v>
      </c>
    </row>
    <row r="85" spans="1:3" ht="21" customHeight="1">
      <c r="B85" s="17"/>
      <c r="C85" s="17"/>
    </row>
    <row r="86" spans="1:3" ht="21" customHeight="1">
      <c r="A86" t="s">
        <v>12</v>
      </c>
      <c r="B86" s="8">
        <f>D33</f>
        <v>0.49059000000000003</v>
      </c>
      <c r="C86" s="8">
        <f>B86</f>
        <v>0.49059000000000003</v>
      </c>
    </row>
    <row r="87" spans="1:3" ht="21" customHeight="1">
      <c r="A87" t="s">
        <v>13</v>
      </c>
      <c r="B87" s="8">
        <f>D34</f>
        <v>0</v>
      </c>
      <c r="C87" s="8">
        <f>B87</f>
        <v>0</v>
      </c>
    </row>
    <row r="88" spans="1:3" ht="21" customHeight="1">
      <c r="A88" s="28" t="s">
        <v>44</v>
      </c>
      <c r="B88" s="32">
        <f>B86+B87</f>
        <v>0.49059000000000003</v>
      </c>
      <c r="C88" s="32">
        <f>C86+C87</f>
        <v>0.49059000000000003</v>
      </c>
    </row>
    <row r="89" spans="1:3" ht="21" customHeight="1"/>
  </sheetData>
  <mergeCells count="1">
    <mergeCell ref="A1:F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98E2-4FC4-1B4E-982F-8F6F642B03A3}">
  <dimension ref="A3:J22"/>
  <sheetViews>
    <sheetView topLeftCell="A3" zoomScale="184" workbookViewId="0">
      <selection activeCell="A19" sqref="A19"/>
    </sheetView>
  </sheetViews>
  <sheetFormatPr defaultColWidth="11.19921875" defaultRowHeight="13.8"/>
  <cols>
    <col min="1" max="1" width="31.5" bestFit="1" customWidth="1"/>
    <col min="3" max="3" width="13" bestFit="1" customWidth="1"/>
    <col min="4" max="4" width="18.19921875" bestFit="1" customWidth="1"/>
    <col min="5" max="5" width="21.5" customWidth="1"/>
    <col min="6" max="6" width="17" customWidth="1"/>
    <col min="7" max="7" width="12" bestFit="1" customWidth="1"/>
    <col min="8" max="8" width="12.796875" bestFit="1" customWidth="1"/>
    <col min="9" max="9" width="13" bestFit="1" customWidth="1"/>
    <col min="10" max="10" width="12.796875" bestFit="1" customWidth="1"/>
  </cols>
  <sheetData>
    <row r="3" spans="1:10" ht="41.4">
      <c r="A3" t="s">
        <v>0</v>
      </c>
      <c r="B3" t="s">
        <v>1</v>
      </c>
      <c r="C3" t="s">
        <v>2</v>
      </c>
      <c r="D3" t="s">
        <v>3</v>
      </c>
      <c r="E3" s="18" t="s">
        <v>4</v>
      </c>
      <c r="F3" s="18" t="s">
        <v>5</v>
      </c>
      <c r="G3" t="s">
        <v>26</v>
      </c>
      <c r="H3" t="s">
        <v>27</v>
      </c>
      <c r="I3" t="s">
        <v>28</v>
      </c>
      <c r="J3" t="s">
        <v>29</v>
      </c>
    </row>
    <row r="4" spans="1:10">
      <c r="A4" t="s">
        <v>6</v>
      </c>
      <c r="B4">
        <v>9655</v>
      </c>
      <c r="C4">
        <v>0.32343</v>
      </c>
      <c r="D4">
        <v>3122.75</v>
      </c>
      <c r="E4" s="12">
        <v>3122.7166499999998</v>
      </c>
      <c r="F4" s="12">
        <v>3.3350000000154978E-2</v>
      </c>
      <c r="G4">
        <v>0.32541999999999999</v>
      </c>
      <c r="H4">
        <v>1.9899999999999918E-3</v>
      </c>
      <c r="I4">
        <v>3122.75</v>
      </c>
    </row>
    <row r="5" spans="1:10">
      <c r="A5" t="s">
        <v>7</v>
      </c>
      <c r="B5">
        <v>9655</v>
      </c>
      <c r="C5">
        <v>0.32343</v>
      </c>
      <c r="D5">
        <v>-3122.75</v>
      </c>
      <c r="E5" s="12">
        <v>3122.7166499999998</v>
      </c>
      <c r="F5" s="12">
        <v>-6245.4666500000003</v>
      </c>
      <c r="G5">
        <v>-0.32541999999999999</v>
      </c>
      <c r="H5">
        <v>-0.64884999999999993</v>
      </c>
      <c r="I5">
        <v>-3122.75</v>
      </c>
    </row>
    <row r="6" spans="1:10">
      <c r="A6" t="s">
        <v>8</v>
      </c>
      <c r="B6">
        <v>9655</v>
      </c>
      <c r="C6">
        <v>0.49059000000000003</v>
      </c>
      <c r="D6">
        <v>-4736.5</v>
      </c>
      <c r="E6" s="12">
        <v>4736.6464500000002</v>
      </c>
      <c r="F6" s="12">
        <v>-9473.1464500000002</v>
      </c>
      <c r="G6">
        <v>-0.32129999999999997</v>
      </c>
      <c r="H6">
        <v>-0.81189</v>
      </c>
      <c r="I6">
        <v>-4736.5</v>
      </c>
    </row>
    <row r="7" spans="1:10">
      <c r="A7" t="s">
        <v>9</v>
      </c>
      <c r="B7">
        <v>9655</v>
      </c>
      <c r="C7">
        <v>0.61323000000000005</v>
      </c>
      <c r="D7">
        <v>5920.75</v>
      </c>
      <c r="E7" s="12">
        <v>5920.7356500000005</v>
      </c>
      <c r="F7" s="12">
        <v>1.43499999994674E-2</v>
      </c>
      <c r="G7">
        <v>0.61626999999999998</v>
      </c>
      <c r="H7">
        <v>3.0399999999999316E-3</v>
      </c>
      <c r="I7">
        <v>5920.75</v>
      </c>
    </row>
    <row r="8" spans="1:10">
      <c r="A8" t="s">
        <v>10</v>
      </c>
      <c r="B8">
        <v>30</v>
      </c>
      <c r="C8">
        <v>0.32333000000000001</v>
      </c>
      <c r="D8">
        <v>9.6999999999999993</v>
      </c>
      <c r="E8" s="12">
        <v>9.6998999999999995</v>
      </c>
      <c r="F8" s="12">
        <v>9.9999999999766942E-5</v>
      </c>
      <c r="G8">
        <v>0.32541999999999999</v>
      </c>
      <c r="H8">
        <v>2.0899999999999808E-3</v>
      </c>
      <c r="I8">
        <v>9.6999999999999993</v>
      </c>
    </row>
    <row r="9" spans="1:10">
      <c r="A9" t="s">
        <v>11</v>
      </c>
      <c r="B9">
        <v>30</v>
      </c>
      <c r="C9">
        <v>0.61333000000000004</v>
      </c>
      <c r="D9">
        <v>18.399999999999999</v>
      </c>
      <c r="E9" s="12">
        <v>18.399900000000002</v>
      </c>
      <c r="F9" s="12">
        <v>9.9999999996214228E-5</v>
      </c>
      <c r="G9">
        <v>0.61626999999999998</v>
      </c>
      <c r="H9">
        <v>2.9399999999999427E-3</v>
      </c>
      <c r="I9">
        <v>18.399999999999999</v>
      </c>
    </row>
    <row r="10" spans="1:10">
      <c r="A10" t="s">
        <v>12</v>
      </c>
      <c r="D10">
        <v>434.03</v>
      </c>
      <c r="E10" t="s">
        <v>30</v>
      </c>
      <c r="F10" t="s">
        <v>30</v>
      </c>
      <c r="H10">
        <v>0</v>
      </c>
      <c r="I10">
        <v>434.03</v>
      </c>
    </row>
    <row r="11" spans="1:10">
      <c r="A11" t="s">
        <v>13</v>
      </c>
      <c r="D11">
        <v>6.66</v>
      </c>
      <c r="E11" t="s">
        <v>30</v>
      </c>
      <c r="F11" t="s">
        <v>30</v>
      </c>
      <c r="H11">
        <v>0</v>
      </c>
      <c r="I11">
        <v>6.66</v>
      </c>
    </row>
    <row r="12" spans="1:10">
      <c r="A12" t="s">
        <v>17</v>
      </c>
      <c r="D12">
        <v>1212.3500000000001</v>
      </c>
      <c r="E12" t="s">
        <v>30</v>
      </c>
      <c r="F12" t="s">
        <v>30</v>
      </c>
      <c r="H12">
        <v>0</v>
      </c>
      <c r="I12">
        <v>1212.3500000000001</v>
      </c>
    </row>
    <row r="13" spans="1:10">
      <c r="A13" t="s">
        <v>14</v>
      </c>
      <c r="D13">
        <v>440.69</v>
      </c>
      <c r="E13" t="s">
        <v>30</v>
      </c>
      <c r="F13" t="s">
        <v>30</v>
      </c>
      <c r="H13">
        <v>0</v>
      </c>
      <c r="I13">
        <v>440.69</v>
      </c>
    </row>
    <row r="14" spans="1:10">
      <c r="A14" t="s">
        <v>16</v>
      </c>
      <c r="D14">
        <v>1653.0400000000002</v>
      </c>
      <c r="E14" t="s">
        <v>30</v>
      </c>
      <c r="F14" t="s">
        <v>30</v>
      </c>
      <c r="H14">
        <v>0</v>
      </c>
      <c r="I14">
        <v>1653.0400000000002</v>
      </c>
    </row>
    <row r="15" spans="1:10">
      <c r="A15" t="s">
        <v>15</v>
      </c>
      <c r="C15">
        <v>0.70161988606939418</v>
      </c>
      <c r="D15">
        <v>6774.14</v>
      </c>
      <c r="E15" t="s">
        <v>30</v>
      </c>
      <c r="F15" t="s">
        <v>30</v>
      </c>
      <c r="H15">
        <v>-0.70161988606939418</v>
      </c>
      <c r="I15">
        <v>6774.14</v>
      </c>
    </row>
    <row r="16" spans="1:10">
      <c r="A16" t="s">
        <v>18</v>
      </c>
      <c r="C16">
        <v>0.93666000000000005</v>
      </c>
      <c r="D16">
        <v>9043.5</v>
      </c>
      <c r="E16" t="s">
        <v>30</v>
      </c>
      <c r="F16" t="s">
        <v>30</v>
      </c>
      <c r="H16">
        <v>-0.93666000000000005</v>
      </c>
      <c r="I16">
        <v>9043.5</v>
      </c>
    </row>
    <row r="17" spans="1:9">
      <c r="A17" t="s">
        <v>19</v>
      </c>
      <c r="D17">
        <v>1212.3500000000001</v>
      </c>
      <c r="E17" t="s">
        <v>30</v>
      </c>
      <c r="F17" t="s">
        <v>30</v>
      </c>
      <c r="H17">
        <v>0</v>
      </c>
      <c r="I17">
        <v>1212.3500000000001</v>
      </c>
    </row>
    <row r="18" spans="1:9">
      <c r="A18" t="s">
        <v>20</v>
      </c>
      <c r="D18">
        <v>7986.4900000000007</v>
      </c>
      <c r="H18">
        <v>0</v>
      </c>
      <c r="I18">
        <v>7986.4900000000007</v>
      </c>
    </row>
    <row r="19" spans="1:9">
      <c r="A19" t="s">
        <v>21</v>
      </c>
      <c r="D19">
        <v>1057.0099999999993</v>
      </c>
      <c r="H19">
        <v>0</v>
      </c>
      <c r="I19">
        <v>1057.0099999999993</v>
      </c>
    </row>
    <row r="20" spans="1:9">
      <c r="A20" t="s">
        <v>23</v>
      </c>
      <c r="C20">
        <v>0.18759429198493149</v>
      </c>
      <c r="D20">
        <v>0.11688063249847949</v>
      </c>
      <c r="H20">
        <v>-0.18759429198493149</v>
      </c>
      <c r="I20">
        <v>0.11688063249847949</v>
      </c>
    </row>
    <row r="21" spans="1:9">
      <c r="A21" t="s">
        <v>24</v>
      </c>
      <c r="D21">
        <v>-7859.25</v>
      </c>
      <c r="H21">
        <v>0</v>
      </c>
      <c r="I21">
        <v>-7859.25</v>
      </c>
    </row>
    <row r="22" spans="1:9">
      <c r="A22" t="s">
        <v>22</v>
      </c>
      <c r="D22">
        <v>0.13806788179533666</v>
      </c>
      <c r="H22">
        <v>0</v>
      </c>
      <c r="I22">
        <v>0.13806788179533666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Transcrição</vt:lpstr>
      <vt:lpstr>Planilha1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ESTAGIARIO 4 ENERGIA</dc:creator>
  <cp:lastModifiedBy>ESTAGIARIO 4 ENERGIA</cp:lastModifiedBy>
  <dcterms:created xsi:type="dcterms:W3CDTF">2026-07-02T14:36:21Z</dcterms:created>
  <dcterms:modified xsi:type="dcterms:W3CDTF">2026-07-03T11:30:27Z</dcterms:modified>
</cp:coreProperties>
</file>